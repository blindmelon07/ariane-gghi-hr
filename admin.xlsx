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y\Downloads\"/>
    </mc:Choice>
  </mc:AlternateContent>
  <xr:revisionPtr revIDLastSave="0" documentId="8_{D940256B-2C3F-44D5-B9C4-AA8DB82E8B4E}" xr6:coauthVersionLast="47" xr6:coauthVersionMax="47" xr10:uidLastSave="{00000000-0000-0000-0000-000000000000}"/>
  <bookViews>
    <workbookView xWindow="28680" yWindow="-120" windowWidth="29040" windowHeight="15720" xr2:uid="{22238538-6FD2-4F58-8F12-BC41D22DF403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92" i="1" l="1"/>
  <c r="D192" i="1"/>
  <c r="B192" i="1"/>
  <c r="E191" i="1"/>
  <c r="D191" i="1"/>
  <c r="B191" i="1"/>
  <c r="E190" i="1"/>
  <c r="D190" i="1"/>
  <c r="B190" i="1"/>
  <c r="E189" i="1"/>
  <c r="D189" i="1"/>
  <c r="B189" i="1"/>
  <c r="E188" i="1"/>
  <c r="D188" i="1"/>
  <c r="B188" i="1"/>
  <c r="E187" i="1"/>
  <c r="D187" i="1"/>
  <c r="B187" i="1"/>
  <c r="E186" i="1"/>
  <c r="D186" i="1"/>
  <c r="B186" i="1"/>
  <c r="E185" i="1"/>
  <c r="D185" i="1"/>
  <c r="B185" i="1"/>
  <c r="E184" i="1"/>
  <c r="D184" i="1"/>
  <c r="B184" i="1"/>
  <c r="E183" i="1"/>
  <c r="D183" i="1"/>
  <c r="B183" i="1"/>
  <c r="E182" i="1"/>
  <c r="D182" i="1"/>
  <c r="B182" i="1"/>
  <c r="E181" i="1"/>
  <c r="D181" i="1"/>
  <c r="B181" i="1"/>
  <c r="E180" i="1"/>
  <c r="D180" i="1"/>
  <c r="B180" i="1"/>
  <c r="E179" i="1"/>
  <c r="D179" i="1"/>
  <c r="E178" i="1"/>
  <c r="D178" i="1"/>
  <c r="B178" i="1"/>
  <c r="E177" i="1"/>
  <c r="D177" i="1"/>
  <c r="C177" i="1"/>
  <c r="B177" i="1"/>
  <c r="E176" i="1"/>
  <c r="D176" i="1"/>
  <c r="B176" i="1"/>
  <c r="E175" i="1"/>
  <c r="D175" i="1"/>
  <c r="C175" i="1"/>
  <c r="B175" i="1"/>
  <c r="E174" i="1"/>
  <c r="D174" i="1"/>
  <c r="C174" i="1"/>
  <c r="B174" i="1"/>
  <c r="E173" i="1"/>
  <c r="D173" i="1"/>
  <c r="C173" i="1"/>
  <c r="B173" i="1"/>
  <c r="E172" i="1"/>
  <c r="D172" i="1"/>
  <c r="C172" i="1"/>
  <c r="B172" i="1"/>
  <c r="E171" i="1"/>
  <c r="D171" i="1"/>
  <c r="C171" i="1"/>
  <c r="B171" i="1"/>
  <c r="E170" i="1"/>
  <c r="D170" i="1"/>
  <c r="C170" i="1"/>
  <c r="B170" i="1"/>
  <c r="E169" i="1"/>
  <c r="D169" i="1"/>
  <c r="C169" i="1"/>
  <c r="B169" i="1"/>
  <c r="E168" i="1"/>
  <c r="D168" i="1"/>
  <c r="C168" i="1"/>
  <c r="B168" i="1"/>
  <c r="E167" i="1"/>
  <c r="D167" i="1"/>
  <c r="C167" i="1"/>
  <c r="B167" i="1"/>
  <c r="E166" i="1"/>
  <c r="D166" i="1"/>
  <c r="C166" i="1"/>
  <c r="B166" i="1"/>
  <c r="E165" i="1"/>
  <c r="D165" i="1"/>
  <c r="C165" i="1"/>
  <c r="B165" i="1"/>
  <c r="E164" i="1"/>
  <c r="D164" i="1"/>
  <c r="C164" i="1"/>
  <c r="B164" i="1"/>
  <c r="E163" i="1"/>
  <c r="D163" i="1"/>
  <c r="C163" i="1"/>
  <c r="B163" i="1"/>
  <c r="E162" i="1"/>
  <c r="D162" i="1"/>
  <c r="C162" i="1"/>
  <c r="B162" i="1"/>
  <c r="E161" i="1"/>
  <c r="D161" i="1"/>
  <c r="C161" i="1"/>
  <c r="B161" i="1"/>
  <c r="E160" i="1"/>
  <c r="D160" i="1"/>
  <c r="C160" i="1"/>
  <c r="B160" i="1"/>
  <c r="E159" i="1"/>
  <c r="D159" i="1"/>
  <c r="C159" i="1"/>
  <c r="B159" i="1"/>
  <c r="E158" i="1"/>
  <c r="D158" i="1"/>
  <c r="C158" i="1"/>
  <c r="B158" i="1"/>
  <c r="E157" i="1"/>
  <c r="D157" i="1"/>
  <c r="C157" i="1"/>
  <c r="B157" i="1"/>
  <c r="E156" i="1"/>
  <c r="D156" i="1"/>
  <c r="C156" i="1"/>
  <c r="B156" i="1"/>
  <c r="E155" i="1"/>
  <c r="D155" i="1"/>
  <c r="C155" i="1"/>
  <c r="B155" i="1"/>
  <c r="E154" i="1"/>
  <c r="D154" i="1"/>
  <c r="C154" i="1"/>
  <c r="B154" i="1"/>
  <c r="E153" i="1"/>
  <c r="D153" i="1"/>
  <c r="C153" i="1"/>
  <c r="B153" i="1"/>
  <c r="E152" i="1"/>
  <c r="D152" i="1"/>
  <c r="C152" i="1"/>
  <c r="B152" i="1"/>
  <c r="E151" i="1"/>
  <c r="D151" i="1"/>
  <c r="C151" i="1"/>
  <c r="B151" i="1"/>
  <c r="E150" i="1"/>
  <c r="D150" i="1"/>
  <c r="C150" i="1"/>
  <c r="B150" i="1"/>
  <c r="E149" i="1"/>
  <c r="D149" i="1"/>
  <c r="C149" i="1"/>
  <c r="B149" i="1"/>
  <c r="E148" i="1"/>
  <c r="D148" i="1"/>
  <c r="C148" i="1"/>
  <c r="B148" i="1"/>
  <c r="E147" i="1"/>
  <c r="D147" i="1"/>
  <c r="C147" i="1"/>
  <c r="B147" i="1"/>
  <c r="E146" i="1"/>
  <c r="D146" i="1"/>
  <c r="C146" i="1"/>
  <c r="B146" i="1"/>
  <c r="E145" i="1"/>
  <c r="D145" i="1"/>
  <c r="C145" i="1"/>
  <c r="B145" i="1"/>
  <c r="E144" i="1"/>
  <c r="D144" i="1"/>
  <c r="B144" i="1"/>
  <c r="E143" i="1"/>
  <c r="D143" i="1"/>
  <c r="B143" i="1"/>
  <c r="E142" i="1"/>
  <c r="D142" i="1"/>
  <c r="C142" i="1"/>
  <c r="B142" i="1"/>
  <c r="E141" i="1"/>
  <c r="D141" i="1"/>
  <c r="C141" i="1"/>
  <c r="B141" i="1"/>
  <c r="E140" i="1"/>
  <c r="D140" i="1"/>
  <c r="C140" i="1"/>
  <c r="B140" i="1"/>
  <c r="E139" i="1"/>
  <c r="D139" i="1"/>
  <c r="C139" i="1"/>
  <c r="B139" i="1"/>
  <c r="E138" i="1"/>
  <c r="D138" i="1"/>
  <c r="C138" i="1"/>
  <c r="B138" i="1"/>
  <c r="E137" i="1"/>
  <c r="D137" i="1"/>
  <c r="C137" i="1"/>
  <c r="B137" i="1"/>
  <c r="E136" i="1"/>
  <c r="D136" i="1"/>
  <c r="C136" i="1"/>
  <c r="B136" i="1"/>
  <c r="E135" i="1"/>
  <c r="D135" i="1"/>
  <c r="C135" i="1"/>
  <c r="B135" i="1"/>
  <c r="E134" i="1"/>
  <c r="D134" i="1"/>
  <c r="B134" i="1"/>
  <c r="E133" i="1"/>
  <c r="D133" i="1"/>
  <c r="C133" i="1"/>
  <c r="B133" i="1"/>
  <c r="E132" i="1"/>
  <c r="D132" i="1"/>
  <c r="C132" i="1"/>
  <c r="B132" i="1"/>
  <c r="E131" i="1"/>
  <c r="D131" i="1"/>
  <c r="C131" i="1"/>
  <c r="B131" i="1"/>
  <c r="E130" i="1"/>
  <c r="D130" i="1"/>
  <c r="C130" i="1"/>
  <c r="B130" i="1"/>
  <c r="E129" i="1"/>
  <c r="D129" i="1"/>
  <c r="C129" i="1"/>
  <c r="B129" i="1"/>
  <c r="E128" i="1"/>
  <c r="D128" i="1"/>
  <c r="C128" i="1"/>
  <c r="B128" i="1"/>
  <c r="E127" i="1"/>
  <c r="D127" i="1"/>
  <c r="C127" i="1"/>
  <c r="B127" i="1"/>
  <c r="E126" i="1"/>
  <c r="D126" i="1"/>
  <c r="C126" i="1"/>
  <c r="B126" i="1"/>
  <c r="E125" i="1"/>
  <c r="D125" i="1"/>
  <c r="C125" i="1"/>
  <c r="B125" i="1"/>
  <c r="E124" i="1"/>
  <c r="D124" i="1"/>
  <c r="C124" i="1"/>
  <c r="B124" i="1"/>
  <c r="E123" i="1"/>
  <c r="D123" i="1"/>
  <c r="C123" i="1"/>
  <c r="B123" i="1"/>
  <c r="E122" i="1"/>
  <c r="D122" i="1"/>
  <c r="C122" i="1"/>
  <c r="B122" i="1"/>
  <c r="E121" i="1"/>
  <c r="D121" i="1"/>
  <c r="C121" i="1"/>
  <c r="B121" i="1"/>
  <c r="E120" i="1"/>
  <c r="D120" i="1"/>
  <c r="C120" i="1"/>
  <c r="B120" i="1"/>
  <c r="E119" i="1"/>
  <c r="D119" i="1"/>
  <c r="C119" i="1"/>
  <c r="B119" i="1"/>
  <c r="E118" i="1"/>
  <c r="D118" i="1"/>
  <c r="C118" i="1"/>
  <c r="B118" i="1"/>
  <c r="E117" i="1"/>
  <c r="D117" i="1"/>
  <c r="C117" i="1"/>
  <c r="B117" i="1"/>
  <c r="E116" i="1"/>
  <c r="D116" i="1"/>
  <c r="C116" i="1"/>
  <c r="B116" i="1"/>
  <c r="E115" i="1"/>
  <c r="D115" i="1"/>
  <c r="C115" i="1"/>
  <c r="B115" i="1"/>
  <c r="E114" i="1"/>
  <c r="D114" i="1"/>
  <c r="C114" i="1"/>
  <c r="B114" i="1"/>
  <c r="E113" i="1"/>
  <c r="D113" i="1"/>
  <c r="C113" i="1"/>
  <c r="B113" i="1"/>
  <c r="E112" i="1"/>
  <c r="D112" i="1"/>
  <c r="C112" i="1"/>
  <c r="B112" i="1"/>
  <c r="E111" i="1"/>
  <c r="D111" i="1"/>
  <c r="C111" i="1"/>
  <c r="B111" i="1"/>
  <c r="E110" i="1"/>
  <c r="D110" i="1"/>
  <c r="C110" i="1"/>
  <c r="B110" i="1"/>
  <c r="E109" i="1"/>
  <c r="D109" i="1"/>
  <c r="C109" i="1"/>
  <c r="B109" i="1"/>
  <c r="E108" i="1"/>
  <c r="D108" i="1"/>
  <c r="C108" i="1"/>
  <c r="B108" i="1"/>
  <c r="E107" i="1"/>
  <c r="D107" i="1"/>
  <c r="C107" i="1"/>
  <c r="B107" i="1"/>
  <c r="E106" i="1"/>
  <c r="D106" i="1"/>
  <c r="B106" i="1"/>
  <c r="E105" i="1"/>
  <c r="D105" i="1"/>
  <c r="C105" i="1"/>
  <c r="B105" i="1"/>
  <c r="E104" i="1"/>
  <c r="D104" i="1"/>
  <c r="B104" i="1"/>
  <c r="E103" i="1"/>
  <c r="D103" i="1"/>
  <c r="C103" i="1"/>
  <c r="B103" i="1"/>
  <c r="E102" i="1"/>
  <c r="D102" i="1"/>
  <c r="C102" i="1"/>
  <c r="B102" i="1"/>
  <c r="E101" i="1"/>
  <c r="D101" i="1"/>
  <c r="B101" i="1"/>
  <c r="E100" i="1"/>
  <c r="D100" i="1"/>
  <c r="C100" i="1"/>
  <c r="B100" i="1"/>
  <c r="E99" i="1"/>
  <c r="D99" i="1"/>
  <c r="C99" i="1"/>
  <c r="B99" i="1"/>
  <c r="E98" i="1"/>
  <c r="D98" i="1"/>
  <c r="C98" i="1"/>
  <c r="B98" i="1"/>
  <c r="E97" i="1"/>
  <c r="D97" i="1"/>
  <c r="B97" i="1"/>
  <c r="E96" i="1"/>
  <c r="D96" i="1"/>
  <c r="C96" i="1"/>
  <c r="B96" i="1"/>
  <c r="E95" i="1"/>
  <c r="D95" i="1"/>
  <c r="B95" i="1"/>
  <c r="E94" i="1"/>
  <c r="D94" i="1"/>
  <c r="C94" i="1"/>
  <c r="B94" i="1"/>
  <c r="E93" i="1"/>
  <c r="D93" i="1"/>
  <c r="B93" i="1"/>
  <c r="E92" i="1"/>
  <c r="D92" i="1"/>
  <c r="C92" i="1"/>
  <c r="B92" i="1"/>
  <c r="E91" i="1"/>
  <c r="D91" i="1"/>
  <c r="C91" i="1"/>
  <c r="B91" i="1"/>
  <c r="E90" i="1"/>
  <c r="D90" i="1"/>
  <c r="C90" i="1"/>
  <c r="B90" i="1"/>
  <c r="E89" i="1"/>
  <c r="D89" i="1"/>
  <c r="C89" i="1"/>
  <c r="B89" i="1"/>
  <c r="E88" i="1"/>
  <c r="D88" i="1"/>
  <c r="C88" i="1"/>
  <c r="B88" i="1"/>
  <c r="E87" i="1"/>
  <c r="D87" i="1"/>
  <c r="C87" i="1"/>
  <c r="B87" i="1"/>
  <c r="E86" i="1"/>
  <c r="D86" i="1"/>
  <c r="B86" i="1"/>
  <c r="E85" i="1"/>
  <c r="D85" i="1"/>
  <c r="C85" i="1"/>
  <c r="B85" i="1"/>
  <c r="E84" i="1"/>
  <c r="D84" i="1"/>
  <c r="C84" i="1"/>
  <c r="B84" i="1"/>
  <c r="E83" i="1"/>
  <c r="D83" i="1"/>
  <c r="C83" i="1"/>
  <c r="B83" i="1"/>
  <c r="E82" i="1"/>
  <c r="D82" i="1"/>
  <c r="C82" i="1"/>
  <c r="B82" i="1"/>
  <c r="E81" i="1"/>
  <c r="D81" i="1"/>
  <c r="C81" i="1"/>
  <c r="B81" i="1"/>
  <c r="E80" i="1"/>
  <c r="D80" i="1"/>
  <c r="C80" i="1"/>
  <c r="B80" i="1"/>
  <c r="E79" i="1"/>
  <c r="D79" i="1"/>
  <c r="C79" i="1"/>
  <c r="B79" i="1"/>
  <c r="E78" i="1"/>
  <c r="D78" i="1"/>
  <c r="C78" i="1"/>
  <c r="B78" i="1"/>
  <c r="E77" i="1"/>
  <c r="D77" i="1"/>
  <c r="C77" i="1"/>
  <c r="B77" i="1"/>
  <c r="E76" i="1"/>
  <c r="D76" i="1"/>
  <c r="C76" i="1"/>
  <c r="B76" i="1"/>
  <c r="E75" i="1"/>
  <c r="D75" i="1"/>
  <c r="C75" i="1"/>
  <c r="B75" i="1"/>
  <c r="E74" i="1"/>
  <c r="D74" i="1"/>
  <c r="C74" i="1"/>
  <c r="B74" i="1"/>
  <c r="E73" i="1"/>
  <c r="D73" i="1"/>
  <c r="C73" i="1"/>
  <c r="B73" i="1"/>
  <c r="E72" i="1"/>
  <c r="D72" i="1"/>
  <c r="B72" i="1"/>
  <c r="E71" i="1"/>
  <c r="D71" i="1"/>
  <c r="C71" i="1"/>
  <c r="B71" i="1"/>
  <c r="E70" i="1"/>
  <c r="D70" i="1"/>
  <c r="B70" i="1"/>
  <c r="E69" i="1"/>
  <c r="D69" i="1"/>
  <c r="B69" i="1"/>
  <c r="E68" i="1"/>
  <c r="D68" i="1"/>
  <c r="B68" i="1"/>
  <c r="E67" i="1"/>
  <c r="D67" i="1"/>
  <c r="B67" i="1"/>
  <c r="E66" i="1"/>
  <c r="D66" i="1"/>
  <c r="B66" i="1"/>
  <c r="E65" i="1"/>
  <c r="D65" i="1"/>
  <c r="B65" i="1"/>
  <c r="E64" i="1"/>
  <c r="D64" i="1"/>
  <c r="C64" i="1"/>
  <c r="B64" i="1"/>
  <c r="E63" i="1"/>
  <c r="D63" i="1"/>
  <c r="C63" i="1"/>
  <c r="B63" i="1"/>
  <c r="E62" i="1"/>
  <c r="D62" i="1"/>
  <c r="C62" i="1"/>
  <c r="B62" i="1"/>
  <c r="E61" i="1"/>
  <c r="D61" i="1"/>
  <c r="C61" i="1"/>
  <c r="B61" i="1"/>
  <c r="E60" i="1"/>
  <c r="D60" i="1"/>
  <c r="C60" i="1"/>
  <c r="B60" i="1"/>
  <c r="E59" i="1"/>
  <c r="D59" i="1"/>
  <c r="C59" i="1"/>
  <c r="B59" i="1"/>
  <c r="E58" i="1"/>
  <c r="D58" i="1"/>
  <c r="C58" i="1"/>
  <c r="B58" i="1"/>
  <c r="E57" i="1"/>
  <c r="D57" i="1"/>
  <c r="C57" i="1"/>
  <c r="B57" i="1"/>
  <c r="E56" i="1"/>
  <c r="D56" i="1"/>
  <c r="C56" i="1"/>
  <c r="B56" i="1"/>
  <c r="E55" i="1"/>
  <c r="D55" i="1"/>
  <c r="C55" i="1"/>
  <c r="B55" i="1"/>
  <c r="E54" i="1"/>
  <c r="D54" i="1"/>
  <c r="C54" i="1"/>
  <c r="B54" i="1"/>
  <c r="E53" i="1"/>
  <c r="D53" i="1"/>
  <c r="C53" i="1"/>
  <c r="B53" i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B48" i="1"/>
  <c r="E47" i="1"/>
  <c r="D47" i="1"/>
  <c r="C47" i="1"/>
  <c r="B47" i="1"/>
  <c r="E46" i="1"/>
  <c r="D46" i="1"/>
  <c r="B46" i="1"/>
  <c r="E45" i="1"/>
  <c r="D45" i="1"/>
  <c r="C45" i="1"/>
  <c r="B45" i="1"/>
  <c r="E44" i="1"/>
  <c r="D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B26" i="1"/>
  <c r="E25" i="1"/>
  <c r="D25" i="1"/>
  <c r="C25" i="1"/>
  <c r="B25" i="1"/>
  <c r="E24" i="1"/>
  <c r="D24" i="1"/>
  <c r="C24" i="1"/>
  <c r="B24" i="1"/>
  <c r="E23" i="1"/>
  <c r="D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B10" i="1"/>
  <c r="E9" i="1"/>
  <c r="D9" i="1"/>
  <c r="C9" i="1"/>
  <c r="B9" i="1"/>
  <c r="E8" i="1"/>
  <c r="D8" i="1"/>
  <c r="C8" i="1"/>
  <c r="B8" i="1"/>
  <c r="E7" i="1"/>
  <c r="D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D3" i="1"/>
  <c r="C3" i="1"/>
  <c r="B3" i="1"/>
  <c r="E2" i="1"/>
  <c r="D2" i="1"/>
  <c r="C2" i="1"/>
  <c r="B2" i="1"/>
  <c r="E1" i="1"/>
  <c r="D1" i="1"/>
  <c r="B1" i="1"/>
</calcChain>
</file>

<file path=xl/sharedStrings.xml><?xml version="1.0" encoding="utf-8"?>
<sst xmlns="http://schemas.openxmlformats.org/spreadsheetml/2006/main" count="234" uniqueCount="194">
  <si>
    <t>Espadero, Christlyn Madel</t>
  </si>
  <si>
    <t>Employed</t>
  </si>
  <si>
    <t>Cañeta Jr., Joelito</t>
  </si>
  <si>
    <t>Ducay, Carla Mae</t>
  </si>
  <si>
    <t>Janoba, Marimar</t>
  </si>
  <si>
    <t>Lovedorial, Maria Paula Antonette</t>
  </si>
  <si>
    <t>Escarcha, Janice</t>
  </si>
  <si>
    <t>Grampon, Jomari</t>
  </si>
  <si>
    <t>Escobedo, Samuel Anthony</t>
  </si>
  <si>
    <t>Janer, Emmanuel</t>
  </si>
  <si>
    <t>Luz, Roel</t>
  </si>
  <si>
    <t>Obsum, Ronald Angelo</t>
  </si>
  <si>
    <t>Dollentas, Ira Colleen</t>
  </si>
  <si>
    <t>Agustin, Joya</t>
  </si>
  <si>
    <t>Deuna, Jessa</t>
  </si>
  <si>
    <t>Lovedorial, Dhan Kenneth</t>
  </si>
  <si>
    <t>Deniega, Marie Joy</t>
  </si>
  <si>
    <t>Jimena, Jonathan</t>
  </si>
  <si>
    <t>Camposano, Raffy</t>
  </si>
  <si>
    <t>Dichoso, Abner</t>
  </si>
  <si>
    <t>Ferreras, Giselle</t>
  </si>
  <si>
    <t>Millenas, Shiela</t>
  </si>
  <si>
    <t>Esmeña, Edwin</t>
  </si>
  <si>
    <t>Guban, Erick Dave</t>
  </si>
  <si>
    <t>Fajardo, Antonio Andrew</t>
  </si>
  <si>
    <t>Gapuen, Dan Arvie</t>
  </si>
  <si>
    <t>Espinola, Rechelle</t>
  </si>
  <si>
    <t>Gabrillo, Nova</t>
  </si>
  <si>
    <t>Jaylo, Ailyn</t>
  </si>
  <si>
    <t>Valino, Angelica Shane</t>
  </si>
  <si>
    <t>Pelina, Salvacion</t>
  </si>
  <si>
    <t>Arcinue, Clarissa</t>
  </si>
  <si>
    <t>Ferreras, Danica Mae</t>
  </si>
  <si>
    <t>Bitancur, Denise Erika</t>
  </si>
  <si>
    <t>Vergara, Jack</t>
  </si>
  <si>
    <t>Entac, Angela Luz</t>
  </si>
  <si>
    <t>Funtanar, Jonalyn</t>
  </si>
  <si>
    <t>Calayo, Geann</t>
  </si>
  <si>
    <t>Hular, Jeorgie</t>
  </si>
  <si>
    <t>Gaufo, Beatriz Ann</t>
  </si>
  <si>
    <t>Escurel, Mae</t>
  </si>
  <si>
    <t>Imlani, Regelia</t>
  </si>
  <si>
    <t>Correos, Corazon</t>
  </si>
  <si>
    <t>Habolin, Christian</t>
  </si>
  <si>
    <t>Asirit, Michael Jhon</t>
  </si>
  <si>
    <t>Feratero, John Leonard</t>
  </si>
  <si>
    <t>Cariñoso, Jaqueline</t>
  </si>
  <si>
    <t>Doma, Marife</t>
  </si>
  <si>
    <t>Go, Diether</t>
  </si>
  <si>
    <t>Bellen, Sharon</t>
  </si>
  <si>
    <t>Borromeo, May</t>
  </si>
  <si>
    <t>Lusuegro, Alyssa Dalene</t>
  </si>
  <si>
    <t>Padlan, Kevin</t>
  </si>
  <si>
    <t>Dicen, Ronel</t>
  </si>
  <si>
    <t>Destura, Rodolfo III</t>
  </si>
  <si>
    <t>Velasco, Rojean</t>
  </si>
  <si>
    <t xml:space="preserve">Gadais, Larisse </t>
  </si>
  <si>
    <t>Dairo Jr., Ernie</t>
  </si>
  <si>
    <t>Sumawang, Sergio Jr.</t>
  </si>
  <si>
    <t>Osoyus, Aldrin</t>
  </si>
  <si>
    <t xml:space="preserve">Pura, Joel </t>
  </si>
  <si>
    <t>Demonteverde, Joanne</t>
  </si>
  <si>
    <t>Quiñones, Iui</t>
  </si>
  <si>
    <t>Jalmanzar, Jade Ayessa</t>
  </si>
  <si>
    <t>Bobis, Jetro</t>
  </si>
  <si>
    <t>Rumaquin, Thalia</t>
  </si>
  <si>
    <t>Conda, Lara</t>
  </si>
  <si>
    <t>Atractivo, Cheska</t>
  </si>
  <si>
    <t>Bayoca, Cedric John</t>
  </si>
  <si>
    <t>Alvarado, John Earl</t>
  </si>
  <si>
    <t>Waje, Yhukie Cassandra</t>
  </si>
  <si>
    <t>Desalisa, Christian</t>
  </si>
  <si>
    <t>Ziga, Jyrie</t>
  </si>
  <si>
    <t>Ladisla, May</t>
  </si>
  <si>
    <t>Ducay Jr., Roger</t>
  </si>
  <si>
    <t>Calma, Ryan</t>
  </si>
  <si>
    <t>Santiago, Rhodessa Mae</t>
  </si>
  <si>
    <t>Marcaida, Ryan Clint</t>
  </si>
  <si>
    <t>Rivera, Benedict</t>
  </si>
  <si>
    <t>Lajada, Jacqueline</t>
  </si>
  <si>
    <t>Dellosa, Daisy</t>
  </si>
  <si>
    <t>Dela Cruz, Girlie</t>
  </si>
  <si>
    <t>Mantala, Hanna Kathrina</t>
  </si>
  <si>
    <t>Geva, Mary Rezy</t>
  </si>
  <si>
    <t>Tañedo, Carl Christian</t>
  </si>
  <si>
    <t>Bania, Roseann</t>
  </si>
  <si>
    <t>Escandor, Kaye</t>
  </si>
  <si>
    <t>Ragas, Visitacion</t>
  </si>
  <si>
    <t>Hapin, Faith</t>
  </si>
  <si>
    <t xml:space="preserve">Medes, Daisy </t>
  </si>
  <si>
    <t>Farenas, Jennifer</t>
  </si>
  <si>
    <t xml:space="preserve">Nebril, Connie </t>
  </si>
  <si>
    <t>Jamon, Diana Rose</t>
  </si>
  <si>
    <t>Grulla, Hannah Leanne</t>
  </si>
  <si>
    <t>Detera, Ma. Faith</t>
  </si>
  <si>
    <t>Diño, Elton John</t>
  </si>
  <si>
    <t>Esquijo, Carlo</t>
  </si>
  <si>
    <t>Estipona, Elizabeth</t>
  </si>
  <si>
    <t>Moreno, Deena Myla</t>
  </si>
  <si>
    <t>Lubiano, Bea Raquel</t>
  </si>
  <si>
    <t>Fruto, Robert John</t>
  </si>
  <si>
    <t>Enconado, Cherie</t>
  </si>
  <si>
    <t xml:space="preserve">Docot, Jerry </t>
  </si>
  <si>
    <t>Lladone, Joylyn Camille</t>
  </si>
  <si>
    <t>Germedia, Junnelyn</t>
  </si>
  <si>
    <t>Galido, Alyssa</t>
  </si>
  <si>
    <t>Perez, Kaye</t>
  </si>
  <si>
    <t>Gaon, Ana Rey</t>
  </si>
  <si>
    <t>Santos, Olivia</t>
  </si>
  <si>
    <t>Estareja, Jayzel</t>
  </si>
  <si>
    <t>Uson, Anthony</t>
  </si>
  <si>
    <t>Mirasol, Beatriz</t>
  </si>
  <si>
    <t>Felismino, Jerwin</t>
  </si>
  <si>
    <t>Villena, Salvacion</t>
  </si>
  <si>
    <t>Desacula, John Andre</t>
  </si>
  <si>
    <t>Belardo, Alejandro</t>
  </si>
  <si>
    <t>Ladimo, Kevin</t>
  </si>
  <si>
    <t>Ariola, Leony</t>
  </si>
  <si>
    <t>Marmol, Kristine Gie</t>
  </si>
  <si>
    <t>Labayane, Analisa</t>
  </si>
  <si>
    <t>Espenocilla, Jorge</t>
  </si>
  <si>
    <t>Puna, Wilmar</t>
  </si>
  <si>
    <t>Estadola, Florie Mae</t>
  </si>
  <si>
    <t>Ergina, Juanito Jr.</t>
  </si>
  <si>
    <t>Macapagal, Darra</t>
  </si>
  <si>
    <t>Encinares, Jolina</t>
  </si>
  <si>
    <t>Jarandia, Liezel</t>
  </si>
  <si>
    <t>Enggay, Franz Andrei</t>
  </si>
  <si>
    <t>De Jesus, Aira</t>
  </si>
  <si>
    <t>Lagsit, Carine</t>
  </si>
  <si>
    <t>Janer, Justine</t>
  </si>
  <si>
    <t>Yu, Irene Hazel</t>
  </si>
  <si>
    <t>Enaje, Allen Mathew</t>
  </si>
  <si>
    <t>Buitizon, Jinnel</t>
  </si>
  <si>
    <t>Legaspi, Shane</t>
  </si>
  <si>
    <t>Paras, John Matthew</t>
  </si>
  <si>
    <t>Dio, Fe</t>
  </si>
  <si>
    <t>Despi, Arcel</t>
  </si>
  <si>
    <t>Dionela, Hazel</t>
  </si>
  <si>
    <t>Deocariza, Chesca</t>
  </si>
  <si>
    <t>Bolima, Shamma</t>
  </si>
  <si>
    <t>Teves, Aster</t>
  </si>
  <si>
    <t>Nate, Adrian</t>
  </si>
  <si>
    <t>Deuna, Janel</t>
  </si>
  <si>
    <t>Hajas, Katherine</t>
  </si>
  <si>
    <t>Rivera, Mikaela</t>
  </si>
  <si>
    <t>Barnedo, Rea Belle</t>
  </si>
  <si>
    <t>Arce, Jessa</t>
  </si>
  <si>
    <t xml:space="preserve">Ermino, John Paul </t>
  </si>
  <si>
    <t>Dino, Marvin</t>
  </si>
  <si>
    <t>Dulay, Juliet</t>
  </si>
  <si>
    <t>Fojas, Alyssa Andrea</t>
  </si>
  <si>
    <t>Gillego, Vince</t>
  </si>
  <si>
    <t>Sumawang, Maria Fe</t>
  </si>
  <si>
    <t>Escasinas, Jonelle</t>
  </si>
  <si>
    <t>Estopace, Jinky</t>
  </si>
  <si>
    <t>Onan, Emmanuel</t>
  </si>
  <si>
    <t>Buenaobra, Jasmin</t>
  </si>
  <si>
    <t>Cuevas, Mithi</t>
  </si>
  <si>
    <t>Marantal, Mycah</t>
  </si>
  <si>
    <t>Venus, Maila</t>
  </si>
  <si>
    <t>Jubilo, Marilou</t>
  </si>
  <si>
    <t>Domdom, Cherrylaine</t>
  </si>
  <si>
    <t>Pajac, Erika</t>
  </si>
  <si>
    <t>De Castro, Theresa Geraldine</t>
  </si>
  <si>
    <t xml:space="preserve">Berdin, Ma. Gretchel </t>
  </si>
  <si>
    <t>Resurreccion, Maybelle Claudia</t>
  </si>
  <si>
    <t>Escaño, Maricres</t>
  </si>
  <si>
    <t xml:space="preserve">Erlano, Arra </t>
  </si>
  <si>
    <t>Margallo, Kaye</t>
  </si>
  <si>
    <t>Bola, Ma. Angelica</t>
  </si>
  <si>
    <t>Dealagdon, Bernandita</t>
  </si>
  <si>
    <t>Furio, Zaldy</t>
  </si>
  <si>
    <t>Agripa, Maeludy</t>
  </si>
  <si>
    <t>Perdigon, Joshua</t>
  </si>
  <si>
    <t>Velasco, Rommel</t>
  </si>
  <si>
    <t>Doctor, Camila</t>
  </si>
  <si>
    <t>Derilo, Ma. Corazon Maricor</t>
  </si>
  <si>
    <t>Dioneda, Nicole</t>
  </si>
  <si>
    <t>Erlano, May Anne</t>
  </si>
  <si>
    <t>Staff Nurse</t>
  </si>
  <si>
    <t>Buenavente, Laiza</t>
  </si>
  <si>
    <t>Diño, Mark Anthony</t>
  </si>
  <si>
    <t>Bringuez, Kiana Trishia</t>
  </si>
  <si>
    <t>Marmol, Mary Helaine</t>
  </si>
  <si>
    <t>Bagsic, Erianne</t>
  </si>
  <si>
    <t>Pura, Kaila Marie</t>
  </si>
  <si>
    <t>Diaz, Dinice</t>
  </si>
  <si>
    <t>Habla, Nicole</t>
  </si>
  <si>
    <t>Gabito, Faith</t>
  </si>
  <si>
    <t>Baron, Ryan</t>
  </si>
  <si>
    <t>Espedido, Lalaine</t>
  </si>
  <si>
    <t>Guan, Jessica</t>
  </si>
  <si>
    <t>Delfin, Jomar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</si>
</sst>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  <font>
      <sz val="9"/>
      <name val="Calibri"/>
      <family val="2"/>
    </font>
    <font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0" borderId="1" xfId="0" applyFont="1" applyBorder="1"/>
    <xf numFmtId="0" fontId="2" fillId="0" borderId="2" xfId="0" applyFont="1" applyBorder="1" applyAlignment="1">
      <alignment vertical="center"/>
    </xf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ry\Downloads\09%20Sept%2010,%202026%20-%20Regular%20(1).xlsx" TargetMode="External"/><Relationship Id="rId1" Type="http://schemas.openxmlformats.org/officeDocument/2006/relationships/externalLinkPath" Target="09%20Sept%2010,%202026%20-%20Regular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otes Puuu &lt;3"/>
      <sheetName val="WORKSHEET"/>
      <sheetName val="Rate Adjj "/>
      <sheetName val="DTR"/>
      <sheetName val="DTR2"/>
      <sheetName val="SA-SD"/>
      <sheetName val="Other Allowances"/>
      <sheetName val="WHT"/>
      <sheetName val="Other Compensation"/>
      <sheetName val="Inventory Var"/>
      <sheetName val="Holiday Adjustments"/>
      <sheetName val="DTR (2)"/>
      <sheetName val="Uniform Allowance"/>
      <sheetName val="2024 WHT"/>
      <sheetName val="Sheet1"/>
      <sheetName val="AP-OTHERS"/>
      <sheetName val="SSS"/>
      <sheetName val="CBS"/>
      <sheetName val="SSS 2025"/>
      <sheetName val="Taxtable"/>
      <sheetName val="ENTRIES (2)"/>
      <sheetName val="PAYSLIP"/>
      <sheetName val="FOR PRINTING"/>
      <sheetName val="FOR PRINTING (fin)"/>
      <sheetName val="ENTRIES"/>
      <sheetName val="FOR PRINTING-LOANS (fin)"/>
      <sheetName val="Contrib Masterlist"/>
      <sheetName val="CONTRIB"/>
      <sheetName val="HD+"/>
      <sheetName val="FOR PRINTING (AR-GSAC)"/>
      <sheetName val="FOR PRINTING-LOANS"/>
      <sheetName val="CBS Masterlist"/>
      <sheetName val="List of Employees"/>
      <sheetName val="Bio-ID"/>
      <sheetName val="Rate"/>
      <sheetName val="Receiving Cop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>
        <row r="1">
          <cell r="D1" t="str">
            <v>Name</v>
          </cell>
          <cell r="E1" t="str">
            <v>Position</v>
          </cell>
          <cell r="F1" t="str">
            <v>CONTRIB STATUS</v>
          </cell>
          <cell r="G1" t="str">
            <v>Cost Center</v>
          </cell>
          <cell r="H1" t="str">
            <v>Employment Status</v>
          </cell>
        </row>
        <row r="2">
          <cell r="D2" t="str">
            <v>Agripa, Maeludy</v>
          </cell>
          <cell r="E2" t="str">
            <v>Staff Nurse I</v>
          </cell>
          <cell r="F2" t="str">
            <v>Employed</v>
          </cell>
          <cell r="G2" t="str">
            <v>Nursing</v>
          </cell>
          <cell r="H2" t="str">
            <v>Regular</v>
          </cell>
        </row>
        <row r="3">
          <cell r="D3" t="str">
            <v>Agustin, Joya</v>
          </cell>
          <cell r="E3" t="str">
            <v>Medical Secretary S2</v>
          </cell>
          <cell r="F3" t="str">
            <v>Employed</v>
          </cell>
          <cell r="G3" t="str">
            <v>Admin</v>
          </cell>
          <cell r="H3" t="str">
            <v>Regular</v>
          </cell>
        </row>
        <row r="4">
          <cell r="D4" t="str">
            <v>Alvarado, John Earl</v>
          </cell>
          <cell r="E4" t="str">
            <v>Claims Clerk</v>
          </cell>
          <cell r="F4" t="str">
            <v>Employed</v>
          </cell>
          <cell r="G4" t="str">
            <v>Admin</v>
          </cell>
          <cell r="H4" t="str">
            <v>Probationary</v>
          </cell>
        </row>
        <row r="5">
          <cell r="D5" t="str">
            <v>Arce, Jessa</v>
          </cell>
          <cell r="E5" t="str">
            <v>Nursing Attendant - non RM</v>
          </cell>
          <cell r="F5" t="str">
            <v>Employed</v>
          </cell>
          <cell r="G5" t="str">
            <v>Nursing</v>
          </cell>
          <cell r="H5" t="str">
            <v>Regular</v>
          </cell>
        </row>
        <row r="6">
          <cell r="D6" t="str">
            <v>Arcinue, Clarissa</v>
          </cell>
          <cell r="E6" t="str">
            <v>Staff Nurse I</v>
          </cell>
          <cell r="F6" t="str">
            <v>Employed</v>
          </cell>
          <cell r="G6" t="str">
            <v>Hemodialysis</v>
          </cell>
          <cell r="H6" t="str">
            <v>Regular</v>
          </cell>
        </row>
        <row r="7">
          <cell r="D7" t="str">
            <v>Ariola, Leony</v>
          </cell>
          <cell r="E7" t="str">
            <v>Phlebotomist</v>
          </cell>
          <cell r="F7" t="str">
            <v>Employed</v>
          </cell>
          <cell r="G7" t="str">
            <v>Laboratory</v>
          </cell>
          <cell r="H7" t="str">
            <v>Regular</v>
          </cell>
        </row>
        <row r="8">
          <cell r="D8" t="str">
            <v>Asirit, Michael Jhon</v>
          </cell>
          <cell r="E8" t="str">
            <v>Staff Nurse I</v>
          </cell>
          <cell r="F8" t="str">
            <v>Employed</v>
          </cell>
          <cell r="G8" t="str">
            <v>Hemodialysis</v>
          </cell>
          <cell r="H8" t="str">
            <v>Regular</v>
          </cell>
        </row>
        <row r="9">
          <cell r="D9" t="str">
            <v>Atractivo, Cheska</v>
          </cell>
          <cell r="E9" t="str">
            <v>Accounting Clerk</v>
          </cell>
          <cell r="F9" t="str">
            <v>Employed</v>
          </cell>
          <cell r="G9" t="str">
            <v>Admin</v>
          </cell>
          <cell r="H9" t="str">
            <v>Regular</v>
          </cell>
        </row>
        <row r="10">
          <cell r="D10" t="str">
            <v>Bagsic, Erianne</v>
          </cell>
          <cell r="E10" t="str">
            <v>Staff Nurse I</v>
          </cell>
          <cell r="F10" t="str">
            <v>Employed</v>
          </cell>
          <cell r="G10" t="str">
            <v>Nursing</v>
          </cell>
          <cell r="H10" t="str">
            <v>Regular</v>
          </cell>
        </row>
        <row r="11">
          <cell r="D11" t="str">
            <v>Bania, Roseann</v>
          </cell>
          <cell r="E11" t="str">
            <v>Staff Nurse I</v>
          </cell>
          <cell r="F11" t="str">
            <v>Employed</v>
          </cell>
          <cell r="G11" t="str">
            <v>Nursing</v>
          </cell>
          <cell r="H11" t="str">
            <v>Regular</v>
          </cell>
        </row>
        <row r="12">
          <cell r="D12" t="str">
            <v>Barnedo, Rea Belle</v>
          </cell>
          <cell r="E12" t="str">
            <v>Staff Nurse II</v>
          </cell>
          <cell r="F12" t="str">
            <v>Employed</v>
          </cell>
          <cell r="G12" t="str">
            <v>Nursing</v>
          </cell>
          <cell r="H12" t="str">
            <v>Regular</v>
          </cell>
        </row>
        <row r="13">
          <cell r="D13" t="str">
            <v>Baron, Ryan</v>
          </cell>
          <cell r="E13" t="str">
            <v>Radiologic Technologist</v>
          </cell>
          <cell r="F13" t="str">
            <v>Employed</v>
          </cell>
          <cell r="G13" t="str">
            <v>Radiology</v>
          </cell>
          <cell r="H13" t="str">
            <v>Regular</v>
          </cell>
        </row>
        <row r="14">
          <cell r="D14" t="str">
            <v>Bayoca, Cedric John</v>
          </cell>
          <cell r="E14" t="str">
            <v>IT Staff</v>
          </cell>
          <cell r="F14" t="str">
            <v>Employed</v>
          </cell>
          <cell r="G14" t="str">
            <v>Admin</v>
          </cell>
          <cell r="H14" t="str">
            <v>Probationary</v>
          </cell>
        </row>
        <row r="15">
          <cell r="D15" t="str">
            <v>Belardo, Alejandro</v>
          </cell>
          <cell r="E15" t="str">
            <v>Institutional Worker S2</v>
          </cell>
          <cell r="F15" t="str">
            <v>Employed</v>
          </cell>
          <cell r="G15" t="str">
            <v>Nursing</v>
          </cell>
          <cell r="H15" t="str">
            <v>Regular</v>
          </cell>
        </row>
        <row r="16">
          <cell r="D16" t="str">
            <v>Bellen, Sharon</v>
          </cell>
          <cell r="E16" t="str">
            <v>Head Nurse - HD S2</v>
          </cell>
          <cell r="F16" t="str">
            <v>Employed</v>
          </cell>
          <cell r="G16" t="str">
            <v>Hemodialysis</v>
          </cell>
          <cell r="H16" t="str">
            <v>Regular</v>
          </cell>
        </row>
        <row r="17">
          <cell r="D17" t="str">
            <v xml:space="preserve">Berdin, Ma. Gretchel </v>
          </cell>
          <cell r="E17" t="str">
            <v>Specialty Nurse-ICU</v>
          </cell>
          <cell r="F17" t="str">
            <v>Employed</v>
          </cell>
          <cell r="G17" t="str">
            <v>ICU and Recovery</v>
          </cell>
          <cell r="H17" t="str">
            <v>Regular</v>
          </cell>
        </row>
        <row r="18">
          <cell r="D18" t="str">
            <v>Bitancur, Denise Erika</v>
          </cell>
          <cell r="E18" t="str">
            <v>Staff Nurse I</v>
          </cell>
          <cell r="F18" t="str">
            <v>Employed</v>
          </cell>
          <cell r="G18" t="str">
            <v>Hemodialysis</v>
          </cell>
          <cell r="H18" t="str">
            <v>Regular</v>
          </cell>
        </row>
        <row r="19">
          <cell r="D19" t="str">
            <v>Bobis, Jetro</v>
          </cell>
          <cell r="E19" t="str">
            <v>Staff Nurse I</v>
          </cell>
          <cell r="F19" t="str">
            <v>Employed</v>
          </cell>
          <cell r="G19" t="str">
            <v>Hemodialysis</v>
          </cell>
          <cell r="H19" t="str">
            <v>Regular</v>
          </cell>
        </row>
        <row r="20">
          <cell r="D20" t="str">
            <v>Bola, Ma. Angelica</v>
          </cell>
          <cell r="E20" t="str">
            <v>Staff Nurse I</v>
          </cell>
          <cell r="F20" t="str">
            <v>Employed</v>
          </cell>
          <cell r="G20" t="str">
            <v>Nursing</v>
          </cell>
          <cell r="H20" t="str">
            <v>Regular</v>
          </cell>
        </row>
        <row r="21">
          <cell r="D21" t="str">
            <v>Bolima, Shamma</v>
          </cell>
          <cell r="E21" t="str">
            <v>Medical Records Clerk</v>
          </cell>
          <cell r="F21" t="str">
            <v>Employed</v>
          </cell>
          <cell r="G21" t="str">
            <v>Admin</v>
          </cell>
          <cell r="H21" t="str">
            <v>Regular</v>
          </cell>
        </row>
        <row r="22">
          <cell r="D22" t="str">
            <v>Borromeo, May</v>
          </cell>
          <cell r="E22" t="str">
            <v>Staff Nurse II</v>
          </cell>
          <cell r="F22" t="str">
            <v>Employed</v>
          </cell>
          <cell r="G22" t="str">
            <v>Hemodialysis</v>
          </cell>
          <cell r="H22" t="str">
            <v>Regular</v>
          </cell>
        </row>
        <row r="23">
          <cell r="D23" t="str">
            <v>Bringuez, Kiana Trishia</v>
          </cell>
          <cell r="E23" t="str">
            <v>Staff Nurse I</v>
          </cell>
          <cell r="F23" t="str">
            <v>Employed</v>
          </cell>
          <cell r="G23" t="str">
            <v>Nursing</v>
          </cell>
          <cell r="H23" t="str">
            <v>Regular</v>
          </cell>
        </row>
        <row r="24">
          <cell r="D24" t="str">
            <v>Buenaobra, Jasmin</v>
          </cell>
          <cell r="E24" t="str">
            <v>Nursing Attendant - RM</v>
          </cell>
          <cell r="F24" t="str">
            <v>Employed</v>
          </cell>
          <cell r="G24" t="str">
            <v>Nursing</v>
          </cell>
          <cell r="H24" t="str">
            <v>Regular</v>
          </cell>
        </row>
        <row r="25">
          <cell r="D25" t="str">
            <v>Buenavente, Laiza</v>
          </cell>
          <cell r="E25" t="str">
            <v>Medical Records Clerk</v>
          </cell>
          <cell r="F25" t="str">
            <v>Employed</v>
          </cell>
          <cell r="G25" t="str">
            <v>Admin</v>
          </cell>
          <cell r="H25" t="str">
            <v>Regular</v>
          </cell>
        </row>
        <row r="26">
          <cell r="D26" t="str">
            <v>Buitizon, Jinnel</v>
          </cell>
          <cell r="E26" t="str">
            <v>Nursing Attendant BSM - RM</v>
          </cell>
          <cell r="F26" t="str">
            <v>Employed</v>
          </cell>
          <cell r="G26" t="str">
            <v>Nursing</v>
          </cell>
          <cell r="H26" t="str">
            <v>Probationary</v>
          </cell>
        </row>
        <row r="27">
          <cell r="D27" t="str">
            <v>Calayo, Geann</v>
          </cell>
          <cell r="E27" t="str">
            <v>Claims Clerk</v>
          </cell>
          <cell r="F27" t="str">
            <v>Employed</v>
          </cell>
          <cell r="G27" t="str">
            <v>Admin</v>
          </cell>
          <cell r="H27" t="str">
            <v>Probationary</v>
          </cell>
        </row>
        <row r="28">
          <cell r="D28" t="str">
            <v>Calma, Ryan</v>
          </cell>
          <cell r="E28" t="str">
            <v>Specialty Nurse-ICU</v>
          </cell>
          <cell r="F28" t="str">
            <v>Employed</v>
          </cell>
          <cell r="G28" t="str">
            <v>ICU and Recovery</v>
          </cell>
          <cell r="H28" t="str">
            <v>Regular</v>
          </cell>
        </row>
        <row r="29">
          <cell r="D29" t="str">
            <v>Camposano, Raffy</v>
          </cell>
          <cell r="E29" t="str">
            <v>Accounting Clerk</v>
          </cell>
          <cell r="F29" t="str">
            <v>Employed</v>
          </cell>
          <cell r="G29" t="str">
            <v>Admin</v>
          </cell>
          <cell r="H29" t="str">
            <v>Regular</v>
          </cell>
        </row>
        <row r="30">
          <cell r="D30" t="str">
            <v>Cañeta Jr., Joelito</v>
          </cell>
          <cell r="E30" t="str">
            <v>Supply and Property Staff</v>
          </cell>
          <cell r="F30" t="str">
            <v>Employed</v>
          </cell>
          <cell r="G30" t="str">
            <v>Admin</v>
          </cell>
          <cell r="H30" t="str">
            <v>Regular</v>
          </cell>
        </row>
        <row r="31">
          <cell r="D31" t="str">
            <v>Cariñoso, Jaqueline</v>
          </cell>
          <cell r="E31" t="str">
            <v>Staff Nurse I</v>
          </cell>
          <cell r="F31" t="str">
            <v>Employed</v>
          </cell>
          <cell r="G31" t="str">
            <v>Hemodialysis</v>
          </cell>
          <cell r="H31" t="str">
            <v>Probationary</v>
          </cell>
        </row>
        <row r="32">
          <cell r="D32" t="str">
            <v>Conda, Lara</v>
          </cell>
          <cell r="E32" t="str">
            <v>Accounting Clerk</v>
          </cell>
          <cell r="F32" t="str">
            <v>Employed</v>
          </cell>
          <cell r="G32" t="str">
            <v>Admin</v>
          </cell>
          <cell r="H32" t="str">
            <v>Regular</v>
          </cell>
        </row>
        <row r="33">
          <cell r="D33" t="str">
            <v>Correos, Corazon</v>
          </cell>
          <cell r="E33" t="str">
            <v>Cashier</v>
          </cell>
          <cell r="F33" t="str">
            <v>Employed</v>
          </cell>
          <cell r="G33" t="str">
            <v>Admin</v>
          </cell>
          <cell r="H33" t="str">
            <v>Regular</v>
          </cell>
        </row>
        <row r="34">
          <cell r="D34" t="str">
            <v>Cuevas, Mithi</v>
          </cell>
          <cell r="E34" t="str">
            <v>Nursing Attendant - RM</v>
          </cell>
          <cell r="F34" t="str">
            <v>Employed</v>
          </cell>
          <cell r="G34" t="str">
            <v>Nursing</v>
          </cell>
          <cell r="H34" t="str">
            <v>Regular</v>
          </cell>
        </row>
        <row r="35">
          <cell r="D35" t="str">
            <v>Dairo Jr., Ernie</v>
          </cell>
          <cell r="E35" t="str">
            <v>Institutional Worker</v>
          </cell>
          <cell r="F35" t="str">
            <v>Employed</v>
          </cell>
          <cell r="G35" t="str">
            <v>Hemodialysis</v>
          </cell>
          <cell r="H35" t="str">
            <v>Regular</v>
          </cell>
        </row>
        <row r="36">
          <cell r="D36" t="str">
            <v>De Castro, Theresa Geraldine</v>
          </cell>
          <cell r="E36" t="str">
            <v>Specialty Nurse-ICU</v>
          </cell>
          <cell r="F36" t="str">
            <v>Employed</v>
          </cell>
          <cell r="G36" t="str">
            <v>ICU and Recovery</v>
          </cell>
          <cell r="H36" t="str">
            <v>Regular</v>
          </cell>
        </row>
        <row r="37">
          <cell r="D37" t="str">
            <v>De Jesus, Aira</v>
          </cell>
          <cell r="E37" t="str">
            <v>Medical Technologist</v>
          </cell>
          <cell r="F37" t="str">
            <v>Employed</v>
          </cell>
          <cell r="G37" t="str">
            <v>Laboratory</v>
          </cell>
          <cell r="H37" t="str">
            <v>Regular</v>
          </cell>
        </row>
        <row r="38">
          <cell r="D38" t="str">
            <v>Dealagdon, Bernandita</v>
          </cell>
          <cell r="E38" t="str">
            <v>Specialty Nurse-ICU</v>
          </cell>
          <cell r="F38" t="str">
            <v>Retired</v>
          </cell>
          <cell r="G38" t="str">
            <v>ICU and Recovery</v>
          </cell>
          <cell r="H38" t="str">
            <v>Regular</v>
          </cell>
        </row>
        <row r="39">
          <cell r="D39" t="str">
            <v>Dela Cruz, Girlie</v>
          </cell>
          <cell r="E39" t="str">
            <v>Nursing Attendant BSM - RM S2</v>
          </cell>
          <cell r="F39" t="str">
            <v>Employed</v>
          </cell>
          <cell r="G39" t="str">
            <v>Nursing</v>
          </cell>
          <cell r="H39" t="str">
            <v>Regular</v>
          </cell>
        </row>
        <row r="40">
          <cell r="D40" t="str">
            <v>Delfin, Jomar</v>
          </cell>
          <cell r="E40" t="str">
            <v>Institutional Worker</v>
          </cell>
          <cell r="F40" t="str">
            <v>Employed</v>
          </cell>
          <cell r="G40" t="str">
            <v>Nursing</v>
          </cell>
          <cell r="H40" t="str">
            <v>Regular</v>
          </cell>
        </row>
        <row r="41">
          <cell r="D41" t="str">
            <v>Dellosa, Daisy</v>
          </cell>
          <cell r="E41" t="str">
            <v>Cashier S2</v>
          </cell>
          <cell r="F41" t="str">
            <v>Employed</v>
          </cell>
          <cell r="G41" t="str">
            <v>Admin</v>
          </cell>
          <cell r="H41" t="str">
            <v>Regular</v>
          </cell>
        </row>
        <row r="42">
          <cell r="D42" t="str">
            <v>Demonteverde, Joanne</v>
          </cell>
          <cell r="E42" t="str">
            <v>Nurse Supervisor</v>
          </cell>
          <cell r="F42" t="str">
            <v>Employed</v>
          </cell>
          <cell r="G42" t="str">
            <v>Hemodialysis</v>
          </cell>
          <cell r="H42" t="str">
            <v>Regular</v>
          </cell>
        </row>
        <row r="43">
          <cell r="D43" t="str">
            <v>Deniega, Marie Joy</v>
          </cell>
          <cell r="E43" t="str">
            <v>Accounting Clerk</v>
          </cell>
          <cell r="F43" t="str">
            <v>Employed</v>
          </cell>
          <cell r="G43" t="str">
            <v>Admin</v>
          </cell>
          <cell r="H43" t="str">
            <v>Regular</v>
          </cell>
        </row>
        <row r="44">
          <cell r="D44" t="str">
            <v>Deocariza, Chesca</v>
          </cell>
          <cell r="E44" t="str">
            <v>Pharmacy Aide S2</v>
          </cell>
          <cell r="F44" t="str">
            <v>Employed</v>
          </cell>
          <cell r="G44" t="str">
            <v>Pharmacy</v>
          </cell>
          <cell r="H44" t="str">
            <v>Regular</v>
          </cell>
        </row>
        <row r="45">
          <cell r="D45" t="str">
            <v>Derilo, Ma. Corazon Maricor</v>
          </cell>
          <cell r="E45" t="str">
            <v>Claims Clerk</v>
          </cell>
          <cell r="F45" t="str">
            <v>Employed</v>
          </cell>
          <cell r="G45" t="str">
            <v>Admin</v>
          </cell>
          <cell r="H45" t="str">
            <v>Regular</v>
          </cell>
        </row>
        <row r="46">
          <cell r="D46" t="str">
            <v>Desacula, John Andre</v>
          </cell>
          <cell r="E46" t="str">
            <v>Billing Clerk S2</v>
          </cell>
          <cell r="F46" t="str">
            <v>Employed</v>
          </cell>
          <cell r="G46" t="str">
            <v>Admin</v>
          </cell>
          <cell r="H46" t="str">
            <v>Regular</v>
          </cell>
        </row>
        <row r="47">
          <cell r="D47" t="str">
            <v>Desalisa, Christian</v>
          </cell>
          <cell r="E47" t="str">
            <v>Institutional Worker</v>
          </cell>
          <cell r="F47" t="str">
            <v>Employed</v>
          </cell>
          <cell r="G47" t="str">
            <v>Hemodialysis</v>
          </cell>
          <cell r="H47" t="str">
            <v>Regular</v>
          </cell>
        </row>
        <row r="48">
          <cell r="D48" t="str">
            <v>Despi, Arcel</v>
          </cell>
          <cell r="E48" t="str">
            <v>Nursing Attendant BSM - RM</v>
          </cell>
          <cell r="F48" t="str">
            <v>Employed</v>
          </cell>
          <cell r="G48" t="str">
            <v>Nursing</v>
          </cell>
          <cell r="H48" t="str">
            <v>Regular</v>
          </cell>
        </row>
        <row r="49">
          <cell r="D49" t="str">
            <v>Destura, Rodolfo III</v>
          </cell>
          <cell r="E49" t="str">
            <v>Staff Nurse I</v>
          </cell>
          <cell r="F49" t="str">
            <v>Employed</v>
          </cell>
          <cell r="G49" t="str">
            <v>Hemodialysis</v>
          </cell>
          <cell r="H49" t="str">
            <v>Regular</v>
          </cell>
        </row>
        <row r="50">
          <cell r="D50" t="str">
            <v>Detera, Ma. Faith</v>
          </cell>
          <cell r="E50" t="str">
            <v>Nursing Attendant - RM</v>
          </cell>
          <cell r="F50" t="str">
            <v>Employed</v>
          </cell>
          <cell r="G50" t="str">
            <v>ICU and Recovery</v>
          </cell>
          <cell r="H50" t="str">
            <v>Regular</v>
          </cell>
        </row>
        <row r="51">
          <cell r="D51" t="str">
            <v>Deuna, Jessa</v>
          </cell>
          <cell r="E51" t="str">
            <v>Office Secretary</v>
          </cell>
          <cell r="F51" t="str">
            <v>Employed</v>
          </cell>
          <cell r="G51" t="str">
            <v>Admin</v>
          </cell>
          <cell r="H51" t="str">
            <v>Regular</v>
          </cell>
        </row>
        <row r="52">
          <cell r="D52" t="str">
            <v>Deuna, Janel</v>
          </cell>
          <cell r="E52" t="str">
            <v>Social Services Clerk</v>
          </cell>
          <cell r="F52" t="str">
            <v>Employed</v>
          </cell>
          <cell r="G52" t="str">
            <v>Admin</v>
          </cell>
          <cell r="H52" t="str">
            <v>Regular</v>
          </cell>
        </row>
        <row r="53">
          <cell r="D53" t="str">
            <v>Diaz, Dinice</v>
          </cell>
          <cell r="E53" t="str">
            <v>Staff Nurse I</v>
          </cell>
          <cell r="F53" t="str">
            <v>Employed</v>
          </cell>
          <cell r="G53" t="str">
            <v>Nursing</v>
          </cell>
          <cell r="H53" t="str">
            <v>Regular</v>
          </cell>
        </row>
        <row r="54">
          <cell r="D54" t="str">
            <v>Dicen, Ronel</v>
          </cell>
          <cell r="E54" t="str">
            <v>Janitorial Staff</v>
          </cell>
          <cell r="F54" t="str">
            <v>Employed</v>
          </cell>
          <cell r="G54" t="str">
            <v>Admin</v>
          </cell>
          <cell r="H54" t="str">
            <v>Regular</v>
          </cell>
        </row>
        <row r="55">
          <cell r="D55" t="str">
            <v>Dichoso, Abner</v>
          </cell>
          <cell r="E55" t="str">
            <v xml:space="preserve">Utility/Maintenance Staff </v>
          </cell>
          <cell r="F55" t="str">
            <v>Employed</v>
          </cell>
          <cell r="G55" t="str">
            <v>Admin</v>
          </cell>
          <cell r="H55" t="str">
            <v>Regular</v>
          </cell>
        </row>
        <row r="56">
          <cell r="D56" t="str">
            <v>Dichoso, Shaira</v>
          </cell>
          <cell r="E56" t="str">
            <v>Nursing Attendant - RM</v>
          </cell>
          <cell r="F56" t="str">
            <v>Resigned</v>
          </cell>
          <cell r="G56" t="str">
            <v>Nursing</v>
          </cell>
          <cell r="H56" t="str">
            <v>Probationary</v>
          </cell>
        </row>
        <row r="57">
          <cell r="D57" t="str">
            <v>Dino, Marvin</v>
          </cell>
          <cell r="E57" t="str">
            <v>Credit and Collection Staff</v>
          </cell>
          <cell r="F57" t="str">
            <v>Employed</v>
          </cell>
          <cell r="G57" t="str">
            <v>Admin</v>
          </cell>
          <cell r="H57" t="str">
            <v>Regular</v>
          </cell>
        </row>
        <row r="58">
          <cell r="D58" t="str">
            <v>Diño, Mark Anthony</v>
          </cell>
          <cell r="E58" t="str">
            <v>Pharmacy Aide S2</v>
          </cell>
          <cell r="F58" t="str">
            <v>Employed</v>
          </cell>
          <cell r="G58" t="str">
            <v>Pharmacy</v>
          </cell>
          <cell r="H58" t="str">
            <v>Regular</v>
          </cell>
        </row>
        <row r="59">
          <cell r="D59" t="str">
            <v>Diño, Elton John</v>
          </cell>
          <cell r="E59" t="str">
            <v>Staff Nurse I</v>
          </cell>
          <cell r="F59" t="str">
            <v>Employed</v>
          </cell>
          <cell r="G59" t="str">
            <v>Nursing</v>
          </cell>
          <cell r="H59" t="str">
            <v>Probationary</v>
          </cell>
        </row>
        <row r="60">
          <cell r="D60" t="str">
            <v>Dio, Fe</v>
          </cell>
          <cell r="E60" t="str">
            <v>Head Nurse I S2</v>
          </cell>
          <cell r="F60" t="str">
            <v>Retired</v>
          </cell>
          <cell r="G60" t="str">
            <v>Nursing</v>
          </cell>
          <cell r="H60" t="str">
            <v>Regular</v>
          </cell>
        </row>
        <row r="61">
          <cell r="D61" t="str">
            <v>Dioneda, Nicole</v>
          </cell>
          <cell r="E61" t="str">
            <v>Staff Nurse I</v>
          </cell>
          <cell r="F61" t="str">
            <v>Employed</v>
          </cell>
          <cell r="G61" t="str">
            <v>Nursing</v>
          </cell>
          <cell r="H61" t="str">
            <v>Regular</v>
          </cell>
        </row>
        <row r="62">
          <cell r="D62" t="str">
            <v>Dionela, Hazel</v>
          </cell>
          <cell r="E62" t="str">
            <v>Pharmacist I</v>
          </cell>
          <cell r="F62" t="str">
            <v>Employed</v>
          </cell>
          <cell r="G62" t="str">
            <v>Pharmacy</v>
          </cell>
          <cell r="H62" t="str">
            <v>Regular</v>
          </cell>
        </row>
        <row r="63">
          <cell r="D63" t="str">
            <v xml:space="preserve">Docot, Jerry </v>
          </cell>
          <cell r="E63" t="str">
            <v>Nursing Attendant - non RM S2</v>
          </cell>
          <cell r="F63" t="str">
            <v>Employed</v>
          </cell>
          <cell r="G63" t="str">
            <v>ICU and Recovery</v>
          </cell>
          <cell r="H63" t="str">
            <v>Regular</v>
          </cell>
        </row>
        <row r="64">
          <cell r="D64" t="str">
            <v>Doctor, Camila</v>
          </cell>
          <cell r="E64" t="str">
            <v>Staff Nurse I</v>
          </cell>
          <cell r="F64" t="str">
            <v>Employed</v>
          </cell>
          <cell r="G64" t="str">
            <v>Nursing</v>
          </cell>
          <cell r="H64" t="str">
            <v>Regular</v>
          </cell>
        </row>
        <row r="65">
          <cell r="D65" t="str">
            <v>Dollentas, Ira Colleen</v>
          </cell>
          <cell r="E65" t="str">
            <v>HR Officer</v>
          </cell>
          <cell r="F65" t="str">
            <v>Employed</v>
          </cell>
          <cell r="G65" t="str">
            <v>Admin</v>
          </cell>
          <cell r="H65" t="str">
            <v>Regular</v>
          </cell>
        </row>
        <row r="66">
          <cell r="D66" t="str">
            <v>Doma, Marife</v>
          </cell>
          <cell r="E66" t="str">
            <v>Cook/ Kitchen Staff</v>
          </cell>
          <cell r="F66" t="str">
            <v>Employed</v>
          </cell>
          <cell r="G66" t="str">
            <v>Dietary</v>
          </cell>
          <cell r="H66" t="str">
            <v>Regular</v>
          </cell>
        </row>
        <row r="67">
          <cell r="D67" t="str">
            <v>Domdom, Cherrylaine</v>
          </cell>
          <cell r="E67" t="str">
            <v>Pharmacy Aide S2</v>
          </cell>
          <cell r="F67" t="str">
            <v>Employed</v>
          </cell>
          <cell r="G67" t="str">
            <v>Pharmacy</v>
          </cell>
          <cell r="H67" t="str">
            <v>Regular</v>
          </cell>
        </row>
        <row r="68">
          <cell r="D68" t="str">
            <v>Ducay, Carla Mae</v>
          </cell>
          <cell r="E68" t="str">
            <v>Compliance Staff S2</v>
          </cell>
          <cell r="F68" t="str">
            <v>Employed</v>
          </cell>
          <cell r="G68" t="str">
            <v>Admin</v>
          </cell>
          <cell r="H68" t="str">
            <v>Regular</v>
          </cell>
        </row>
        <row r="69">
          <cell r="D69" t="str">
            <v>Ducay Jr., Roger</v>
          </cell>
          <cell r="E69" t="str">
            <v>Claims Officer</v>
          </cell>
          <cell r="F69" t="str">
            <v>Employed</v>
          </cell>
          <cell r="G69" t="str">
            <v>Admin</v>
          </cell>
          <cell r="H69" t="str">
            <v>Regular</v>
          </cell>
        </row>
        <row r="70">
          <cell r="D70" t="str">
            <v>Dulay, Juliet</v>
          </cell>
          <cell r="E70" t="str">
            <v>Nursing Attendant - RM</v>
          </cell>
          <cell r="F70" t="str">
            <v>Employed</v>
          </cell>
          <cell r="G70" t="str">
            <v>ICU and Recovery</v>
          </cell>
          <cell r="H70" t="str">
            <v>Regular</v>
          </cell>
        </row>
        <row r="71">
          <cell r="D71" t="str">
            <v>Enaje, Allen Mathew</v>
          </cell>
          <cell r="E71" t="str">
            <v>Pharmacist I</v>
          </cell>
          <cell r="F71" t="str">
            <v>Employed</v>
          </cell>
          <cell r="G71" t="str">
            <v>Pharmacy</v>
          </cell>
          <cell r="H71" t="str">
            <v>Regular</v>
          </cell>
        </row>
        <row r="72">
          <cell r="D72" t="str">
            <v>Enalpe, Jeanive</v>
          </cell>
          <cell r="E72" t="str">
            <v>Housekeeping/Linen S2</v>
          </cell>
          <cell r="F72" t="str">
            <v>Employed</v>
          </cell>
          <cell r="G72" t="str">
            <v>Nursing</v>
          </cell>
          <cell r="H72" t="str">
            <v>Regular</v>
          </cell>
        </row>
        <row r="73">
          <cell r="D73" t="str">
            <v>Encinares, Jolina</v>
          </cell>
          <cell r="E73" t="str">
            <v>Radiology Assistant/Technician S2</v>
          </cell>
          <cell r="F73" t="str">
            <v>Employed</v>
          </cell>
          <cell r="G73" t="str">
            <v>Radiology</v>
          </cell>
          <cell r="H73" t="str">
            <v>Regular</v>
          </cell>
        </row>
        <row r="74">
          <cell r="D74" t="str">
            <v>Enconado, Cherie</v>
          </cell>
          <cell r="E74" t="str">
            <v>Nursing Attendant - RM</v>
          </cell>
          <cell r="F74" t="str">
            <v>Employed</v>
          </cell>
          <cell r="G74" t="str">
            <v>Nursing</v>
          </cell>
          <cell r="H74" t="str">
            <v>Probationary</v>
          </cell>
        </row>
        <row r="75">
          <cell r="D75" t="str">
            <v>Enggay, Franz Andrei</v>
          </cell>
          <cell r="E75" t="str">
            <v>Staff Nurse I</v>
          </cell>
          <cell r="F75" t="str">
            <v>Employed</v>
          </cell>
          <cell r="G75" t="str">
            <v>Nursing</v>
          </cell>
          <cell r="H75" t="str">
            <v>Regular</v>
          </cell>
        </row>
        <row r="76">
          <cell r="D76" t="str">
            <v>Entac, Angela Luz</v>
          </cell>
          <cell r="E76" t="str">
            <v>Staff Nurse II</v>
          </cell>
          <cell r="F76" t="str">
            <v>Employed</v>
          </cell>
          <cell r="G76" t="str">
            <v>Hemodialysis</v>
          </cell>
          <cell r="H76" t="str">
            <v>Regular</v>
          </cell>
        </row>
        <row r="77">
          <cell r="D77" t="str">
            <v>Ergina, Juanito Jr.</v>
          </cell>
          <cell r="E77" t="str">
            <v>Senior Institutional Worker</v>
          </cell>
          <cell r="F77" t="str">
            <v>Employed</v>
          </cell>
          <cell r="G77" t="str">
            <v>Nursing</v>
          </cell>
          <cell r="H77" t="str">
            <v>Regular</v>
          </cell>
        </row>
        <row r="78">
          <cell r="D78" t="str">
            <v xml:space="preserve">Erlano, Arra </v>
          </cell>
          <cell r="E78" t="str">
            <v>Staff Nurse I</v>
          </cell>
          <cell r="F78" t="str">
            <v>Employed</v>
          </cell>
          <cell r="G78" t="str">
            <v>Nursing</v>
          </cell>
          <cell r="H78" t="str">
            <v>Regular</v>
          </cell>
        </row>
        <row r="79">
          <cell r="D79" t="str">
            <v>Erlano, May Anne</v>
          </cell>
          <cell r="E79" t="str">
            <v>Staff Nurse I</v>
          </cell>
          <cell r="F79" t="str">
            <v>Employed</v>
          </cell>
          <cell r="G79" t="str">
            <v>Nursing</v>
          </cell>
          <cell r="H79" t="str">
            <v>Regular</v>
          </cell>
        </row>
        <row r="80">
          <cell r="D80" t="str">
            <v xml:space="preserve">Ermino, John Paul </v>
          </cell>
          <cell r="E80" t="str">
            <v>Credit and Collection Staff</v>
          </cell>
          <cell r="F80" t="str">
            <v>Employed</v>
          </cell>
          <cell r="G80" t="str">
            <v>Admin</v>
          </cell>
          <cell r="H80" t="str">
            <v>Regular</v>
          </cell>
        </row>
        <row r="81">
          <cell r="D81" t="str">
            <v>Escandor, Kaye</v>
          </cell>
          <cell r="E81" t="str">
            <v>Staff Nurse I</v>
          </cell>
          <cell r="F81" t="str">
            <v>Employed</v>
          </cell>
          <cell r="G81" t="str">
            <v>Nursing</v>
          </cell>
          <cell r="H81" t="str">
            <v>Probationary</v>
          </cell>
        </row>
        <row r="82">
          <cell r="D82" t="str">
            <v>Escaño, Maricres</v>
          </cell>
          <cell r="E82" t="str">
            <v>Specialty Nurse-ICU</v>
          </cell>
          <cell r="F82" t="str">
            <v>Employed</v>
          </cell>
          <cell r="G82" t="str">
            <v>ICU and Recovery</v>
          </cell>
          <cell r="H82" t="str">
            <v>Regular</v>
          </cell>
        </row>
        <row r="83">
          <cell r="D83" t="str">
            <v>Escarcha, Janice</v>
          </cell>
          <cell r="E83" t="str">
            <v>Claims Clerk</v>
          </cell>
          <cell r="F83" t="str">
            <v>Employed</v>
          </cell>
          <cell r="G83" t="str">
            <v>Admin - HD</v>
          </cell>
          <cell r="H83" t="str">
            <v>Regular</v>
          </cell>
        </row>
        <row r="84">
          <cell r="D84" t="str">
            <v>Escasinas, Jonelle</v>
          </cell>
          <cell r="E84" t="str">
            <v>Staff Nurse II</v>
          </cell>
          <cell r="F84" t="str">
            <v>Employed</v>
          </cell>
          <cell r="G84" t="str">
            <v>Nursing</v>
          </cell>
          <cell r="H84" t="str">
            <v>Regular</v>
          </cell>
        </row>
        <row r="85">
          <cell r="D85" t="str">
            <v>Escobedo, Samuel Anthony</v>
          </cell>
          <cell r="E85" t="str">
            <v>Supply and Property Staff S2</v>
          </cell>
          <cell r="F85" t="str">
            <v>Employed</v>
          </cell>
          <cell r="G85" t="str">
            <v>Admin</v>
          </cell>
          <cell r="H85" t="str">
            <v>Regular</v>
          </cell>
        </row>
        <row r="86">
          <cell r="D86" t="str">
            <v>Escurel, Mae</v>
          </cell>
          <cell r="E86" t="str">
            <v>IT Staff</v>
          </cell>
          <cell r="F86" t="str">
            <v>Employed</v>
          </cell>
          <cell r="G86" t="str">
            <v>Admin</v>
          </cell>
          <cell r="H86" t="str">
            <v>Regular</v>
          </cell>
        </row>
        <row r="87">
          <cell r="D87" t="str">
            <v>Esmeña, Edwin</v>
          </cell>
          <cell r="E87" t="str">
            <v>HD Technician S2</v>
          </cell>
          <cell r="F87" t="str">
            <v>Employed</v>
          </cell>
          <cell r="G87" t="str">
            <v>Hemodialysis</v>
          </cell>
          <cell r="H87" t="str">
            <v>Regular</v>
          </cell>
        </row>
        <row r="88">
          <cell r="D88" t="str">
            <v>Espadero, Christlyn Madel</v>
          </cell>
          <cell r="E88" t="str">
            <v>Staff Nurse I</v>
          </cell>
          <cell r="F88" t="str">
            <v>Employed</v>
          </cell>
          <cell r="G88" t="str">
            <v>Hemodialysis</v>
          </cell>
          <cell r="H88" t="str">
            <v>Regular</v>
          </cell>
        </row>
        <row r="89">
          <cell r="D89" t="str">
            <v>Espedido, Lalaine</v>
          </cell>
          <cell r="E89" t="str">
            <v>Staff Nurse I</v>
          </cell>
          <cell r="F89" t="str">
            <v>Employed</v>
          </cell>
          <cell r="G89" t="str">
            <v>Nursing</v>
          </cell>
          <cell r="H89" t="str">
            <v>Regular</v>
          </cell>
        </row>
        <row r="90">
          <cell r="D90" t="str">
            <v>Espenocilla, Jorge</v>
          </cell>
          <cell r="E90" t="str">
            <v>Institutional Worker S2</v>
          </cell>
          <cell r="F90" t="str">
            <v>Employed</v>
          </cell>
          <cell r="G90" t="str">
            <v>Nursing</v>
          </cell>
          <cell r="H90" t="str">
            <v>Regular</v>
          </cell>
        </row>
        <row r="91">
          <cell r="D91" t="str">
            <v>Espinola, Rechelle</v>
          </cell>
          <cell r="E91" t="str">
            <v>Staff Nurse I</v>
          </cell>
          <cell r="F91" t="str">
            <v>Employed</v>
          </cell>
          <cell r="G91" t="str">
            <v>Hemodialysis</v>
          </cell>
          <cell r="H91" t="str">
            <v>Regular</v>
          </cell>
        </row>
        <row r="92">
          <cell r="D92" t="str">
            <v>Esquijo, Carlo</v>
          </cell>
          <cell r="E92" t="str">
            <v>Ambulance Driver</v>
          </cell>
          <cell r="F92" t="str">
            <v>Employed</v>
          </cell>
          <cell r="G92" t="str">
            <v>Nursing</v>
          </cell>
          <cell r="H92" t="str">
            <v>Regular</v>
          </cell>
        </row>
        <row r="93">
          <cell r="D93" t="str">
            <v>Estadola, Florie Mae</v>
          </cell>
          <cell r="E93" t="str">
            <v>Pharmacy Head</v>
          </cell>
          <cell r="F93" t="str">
            <v>Employed</v>
          </cell>
          <cell r="G93" t="str">
            <v>Pharmacy</v>
          </cell>
          <cell r="H93" t="str">
            <v>Regular</v>
          </cell>
        </row>
        <row r="94">
          <cell r="D94" t="str">
            <v>Estareja, Jayzel</v>
          </cell>
          <cell r="E94" t="str">
            <v>Nursing Attendant - non RM</v>
          </cell>
          <cell r="F94" t="str">
            <v>Employed</v>
          </cell>
          <cell r="G94" t="str">
            <v>Nursing</v>
          </cell>
          <cell r="H94" t="str">
            <v>Regular</v>
          </cell>
        </row>
        <row r="95">
          <cell r="D95" t="str">
            <v>Estidola, Ryan Jay</v>
          </cell>
          <cell r="E95" t="str">
            <v>Internal Auditor.</v>
          </cell>
          <cell r="F95" t="str">
            <v>Resigned</v>
          </cell>
          <cell r="G95" t="str">
            <v>Admin</v>
          </cell>
          <cell r="H95" t="str">
            <v>Regular</v>
          </cell>
        </row>
        <row r="96">
          <cell r="D96" t="str">
            <v>Estipona, Elizabeth</v>
          </cell>
          <cell r="E96" t="str">
            <v>Staff Nurse I</v>
          </cell>
          <cell r="F96" t="str">
            <v>Employed</v>
          </cell>
          <cell r="G96" t="str">
            <v>Nursing</v>
          </cell>
          <cell r="H96" t="str">
            <v>Probationary</v>
          </cell>
        </row>
        <row r="97">
          <cell r="D97" t="str">
            <v>Estopace, Jinky</v>
          </cell>
          <cell r="E97" t="str">
            <v>Nursing Attendant - RM</v>
          </cell>
          <cell r="F97" t="str">
            <v>Employed</v>
          </cell>
          <cell r="G97" t="str">
            <v>Nursing</v>
          </cell>
          <cell r="H97" t="str">
            <v>Regular</v>
          </cell>
        </row>
        <row r="98">
          <cell r="D98" t="str">
            <v>Fajardo, Antonio Andrew</v>
          </cell>
          <cell r="E98" t="str">
            <v>HD Technician S2</v>
          </cell>
          <cell r="F98" t="str">
            <v>Employed</v>
          </cell>
          <cell r="G98" t="str">
            <v>Hemodialysis</v>
          </cell>
          <cell r="H98" t="str">
            <v>Regular</v>
          </cell>
        </row>
        <row r="99">
          <cell r="D99" t="str">
            <v>Farenas, Jennifer</v>
          </cell>
          <cell r="E99" t="str">
            <v>Training Supervisor Nurse</v>
          </cell>
          <cell r="F99" t="str">
            <v>Employed</v>
          </cell>
          <cell r="G99" t="str">
            <v>Nursing</v>
          </cell>
          <cell r="H99" t="str">
            <v>Regular</v>
          </cell>
        </row>
        <row r="100">
          <cell r="D100" t="str">
            <v>Felismino, Jerwin</v>
          </cell>
          <cell r="E100" t="str">
            <v>Phlebotomist S2</v>
          </cell>
          <cell r="F100" t="str">
            <v>Employed</v>
          </cell>
          <cell r="G100" t="str">
            <v>Laboratory</v>
          </cell>
          <cell r="H100" t="str">
            <v>Regular</v>
          </cell>
        </row>
        <row r="101">
          <cell r="D101" t="str">
            <v>Feratero, John Leonard</v>
          </cell>
          <cell r="E101" t="str">
            <v>HD Technician</v>
          </cell>
          <cell r="F101" t="str">
            <v>Employed</v>
          </cell>
          <cell r="G101" t="str">
            <v>Hemodialysis</v>
          </cell>
          <cell r="H101" t="str">
            <v>Regular</v>
          </cell>
        </row>
        <row r="102">
          <cell r="D102" t="str">
            <v>Ferreras, Danica Mae</v>
          </cell>
          <cell r="E102" t="str">
            <v>Accounting Clerk</v>
          </cell>
          <cell r="F102" t="str">
            <v>Employed</v>
          </cell>
          <cell r="G102" t="str">
            <v>Admin</v>
          </cell>
          <cell r="H102" t="str">
            <v>Regular</v>
          </cell>
        </row>
        <row r="103">
          <cell r="D103" t="str">
            <v>Ferreras, Giselle</v>
          </cell>
          <cell r="E103" t="str">
            <v>Nursing Attendant - RM</v>
          </cell>
          <cell r="F103" t="str">
            <v>Employed</v>
          </cell>
          <cell r="G103" t="str">
            <v>Hemodialysis</v>
          </cell>
          <cell r="H103" t="str">
            <v>Regular</v>
          </cell>
        </row>
        <row r="104">
          <cell r="D104" t="str">
            <v>Fojas, Alyssa Andrea</v>
          </cell>
          <cell r="E104" t="str">
            <v>Claims Clerk</v>
          </cell>
          <cell r="F104" t="str">
            <v>Employed</v>
          </cell>
          <cell r="G104" t="str">
            <v>Admin</v>
          </cell>
          <cell r="H104" t="str">
            <v>Regular</v>
          </cell>
        </row>
        <row r="105">
          <cell r="D105" t="str">
            <v>Fruto, Robert John</v>
          </cell>
          <cell r="E105" t="str">
            <v>Medical Technologist S2</v>
          </cell>
          <cell r="F105" t="str">
            <v>Employed</v>
          </cell>
          <cell r="G105" t="str">
            <v>Laboratory</v>
          </cell>
          <cell r="H105" t="str">
            <v>Regular</v>
          </cell>
        </row>
        <row r="106">
          <cell r="D106" t="str">
            <v>Funtanar, Jonalyn</v>
          </cell>
          <cell r="E106" t="str">
            <v>Claims Clerk</v>
          </cell>
          <cell r="F106" t="str">
            <v>Employed</v>
          </cell>
          <cell r="G106" t="str">
            <v>Admin</v>
          </cell>
          <cell r="H106" t="str">
            <v>Probationary</v>
          </cell>
        </row>
        <row r="107">
          <cell r="D107" t="str">
            <v>Furio, Zaldy</v>
          </cell>
          <cell r="E107" t="str">
            <v>Institutional Worker</v>
          </cell>
          <cell r="F107" t="str">
            <v>Employed</v>
          </cell>
          <cell r="G107" t="str">
            <v>Nursing</v>
          </cell>
          <cell r="H107" t="str">
            <v>Regular</v>
          </cell>
        </row>
        <row r="108">
          <cell r="D108" t="str">
            <v>Gabito, Faith</v>
          </cell>
          <cell r="E108" t="str">
            <v>Medical Technologist</v>
          </cell>
          <cell r="F108" t="str">
            <v>Employed</v>
          </cell>
          <cell r="G108" t="str">
            <v>Laboratory</v>
          </cell>
          <cell r="H108" t="str">
            <v>Regular</v>
          </cell>
        </row>
        <row r="109">
          <cell r="D109" t="str">
            <v>Gabrillo, Nova</v>
          </cell>
          <cell r="E109" t="str">
            <v>Staff Nurse I</v>
          </cell>
          <cell r="F109" t="str">
            <v>Employed</v>
          </cell>
          <cell r="G109" t="str">
            <v>Hemodialysis</v>
          </cell>
          <cell r="H109" t="str">
            <v>Regular</v>
          </cell>
        </row>
        <row r="110">
          <cell r="D110" t="str">
            <v xml:space="preserve">Gadais, Larisse </v>
          </cell>
          <cell r="E110" t="str">
            <v>Nursing Attendant - RM</v>
          </cell>
          <cell r="F110" t="str">
            <v>Employed</v>
          </cell>
          <cell r="G110" t="str">
            <v>Hemodialysis</v>
          </cell>
          <cell r="H110" t="str">
            <v>Regular</v>
          </cell>
        </row>
        <row r="111">
          <cell r="D111" t="str">
            <v>Galido, Alyssa</v>
          </cell>
          <cell r="E111" t="str">
            <v>Nursing Attendant - RM</v>
          </cell>
          <cell r="F111" t="str">
            <v>Employed</v>
          </cell>
          <cell r="G111" t="str">
            <v>Nursing</v>
          </cell>
          <cell r="H111" t="str">
            <v>Regular</v>
          </cell>
        </row>
        <row r="112">
          <cell r="D112" t="str">
            <v>Gaon, Ana Rey</v>
          </cell>
          <cell r="E112" t="str">
            <v>Nursing Attendant BSM - RM S2</v>
          </cell>
          <cell r="F112" t="str">
            <v>Employed</v>
          </cell>
          <cell r="G112" t="str">
            <v>Nursing</v>
          </cell>
          <cell r="H112" t="str">
            <v>Regular</v>
          </cell>
        </row>
        <row r="113">
          <cell r="D113" t="str">
            <v>Gapuen, Dan Arvie</v>
          </cell>
          <cell r="E113" t="str">
            <v>Accounting Clerk</v>
          </cell>
          <cell r="F113" t="str">
            <v>Employed</v>
          </cell>
          <cell r="G113" t="str">
            <v>Admin</v>
          </cell>
          <cell r="H113" t="str">
            <v>Regular</v>
          </cell>
        </row>
        <row r="114">
          <cell r="D114" t="str">
            <v>Gaufo, Beatriz Ann</v>
          </cell>
          <cell r="E114" t="str">
            <v>HR Staff</v>
          </cell>
          <cell r="F114" t="str">
            <v>Employed</v>
          </cell>
          <cell r="G114" t="str">
            <v>Admin</v>
          </cell>
          <cell r="H114" t="str">
            <v>Regular</v>
          </cell>
        </row>
        <row r="115">
          <cell r="D115" t="str">
            <v>Germedia, Junnelyn</v>
          </cell>
          <cell r="E115" t="str">
            <v>Admitting Clerk</v>
          </cell>
          <cell r="F115" t="str">
            <v>Employed</v>
          </cell>
          <cell r="G115" t="str">
            <v>Admin</v>
          </cell>
          <cell r="H115" t="str">
            <v>Probationary</v>
          </cell>
        </row>
        <row r="116">
          <cell r="D116" t="str">
            <v>Geva, Mary Rezy</v>
          </cell>
          <cell r="E116" t="str">
            <v>Chief Nurse</v>
          </cell>
          <cell r="F116" t="str">
            <v>Employed</v>
          </cell>
          <cell r="G116" t="str">
            <v>Nursing</v>
          </cell>
          <cell r="H116" t="str">
            <v>Regular</v>
          </cell>
        </row>
        <row r="117">
          <cell r="D117" t="str">
            <v>Gillego, Vince</v>
          </cell>
          <cell r="E117" t="str">
            <v>Institutional Worker</v>
          </cell>
          <cell r="F117" t="str">
            <v>Employed</v>
          </cell>
          <cell r="G117" t="str">
            <v>Nursing</v>
          </cell>
          <cell r="H117" t="str">
            <v>Regular</v>
          </cell>
        </row>
        <row r="118">
          <cell r="D118" t="str">
            <v>Go, Diether</v>
          </cell>
          <cell r="E118" t="str">
            <v>Internal Audit Staff</v>
          </cell>
          <cell r="F118" t="str">
            <v>Employed</v>
          </cell>
          <cell r="G118" t="str">
            <v>Admin</v>
          </cell>
          <cell r="H118" t="str">
            <v>Probationary</v>
          </cell>
        </row>
        <row r="119">
          <cell r="D119" t="str">
            <v>Grampon, Jomari</v>
          </cell>
          <cell r="E119" t="str">
            <v>Cook/ Kitchen Staff</v>
          </cell>
          <cell r="F119" t="str">
            <v>Employed</v>
          </cell>
          <cell r="G119" t="str">
            <v>Dietary</v>
          </cell>
          <cell r="H119" t="str">
            <v>Probationary</v>
          </cell>
        </row>
        <row r="120">
          <cell r="D120" t="str">
            <v>Grulla, Hannah Leanne</v>
          </cell>
          <cell r="E120" t="str">
            <v>Staff Nurse I</v>
          </cell>
          <cell r="F120" t="str">
            <v>Employed</v>
          </cell>
          <cell r="G120" t="str">
            <v>Nursing</v>
          </cell>
          <cell r="H120" t="str">
            <v>Probationary</v>
          </cell>
        </row>
        <row r="121">
          <cell r="D121" t="str">
            <v>Guan, Jessica</v>
          </cell>
          <cell r="E121" t="str">
            <v>Staff Nurse I</v>
          </cell>
          <cell r="F121" t="str">
            <v>Employed</v>
          </cell>
          <cell r="G121" t="str">
            <v>Nursing</v>
          </cell>
          <cell r="H121" t="str">
            <v>Regular</v>
          </cell>
        </row>
        <row r="122">
          <cell r="D122" t="str">
            <v>Guban, Erick Dave</v>
          </cell>
          <cell r="E122" t="str">
            <v>Cook/ Kitchen Staff</v>
          </cell>
          <cell r="F122" t="str">
            <v>Employed</v>
          </cell>
          <cell r="G122" t="str">
            <v>Dietary</v>
          </cell>
          <cell r="H122" t="str">
            <v>Probationary</v>
          </cell>
        </row>
        <row r="123">
          <cell r="D123" t="str">
            <v>Habla, Nicole</v>
          </cell>
          <cell r="E123" t="str">
            <v>Staff Nurse I</v>
          </cell>
          <cell r="F123" t="str">
            <v>Employed</v>
          </cell>
          <cell r="G123" t="str">
            <v>Nursing</v>
          </cell>
          <cell r="H123" t="str">
            <v>Regular</v>
          </cell>
        </row>
        <row r="124">
          <cell r="D124" t="str">
            <v>Habolin, Christian</v>
          </cell>
          <cell r="E124" t="str">
            <v>Nursing Attendant - RM</v>
          </cell>
          <cell r="F124" t="str">
            <v>Employed</v>
          </cell>
          <cell r="G124" t="str">
            <v>Hemodialysis</v>
          </cell>
          <cell r="H124" t="str">
            <v>Regular</v>
          </cell>
        </row>
        <row r="125">
          <cell r="D125" t="str">
            <v>Hajas, Katherine</v>
          </cell>
          <cell r="E125" t="str">
            <v>Ancillary Clerk</v>
          </cell>
          <cell r="F125" t="str">
            <v>Employed</v>
          </cell>
          <cell r="G125" t="str">
            <v>Admin</v>
          </cell>
          <cell r="H125" t="str">
            <v>Regular</v>
          </cell>
        </row>
        <row r="126">
          <cell r="D126" t="str">
            <v>Hapin, Faith</v>
          </cell>
          <cell r="E126" t="str">
            <v>Nursing Attendant - RM S2</v>
          </cell>
          <cell r="F126" t="str">
            <v>Employed</v>
          </cell>
          <cell r="G126" t="str">
            <v>Nursing</v>
          </cell>
          <cell r="H126" t="str">
            <v>Regular</v>
          </cell>
        </row>
        <row r="127">
          <cell r="D127" t="str">
            <v>Hular, Jeorgie</v>
          </cell>
          <cell r="E127" t="str">
            <v>Accountant - CPA</v>
          </cell>
          <cell r="F127" t="str">
            <v>Employed</v>
          </cell>
          <cell r="G127" t="str">
            <v>Admin</v>
          </cell>
          <cell r="H127" t="str">
            <v>Regular</v>
          </cell>
        </row>
        <row r="128">
          <cell r="D128" t="str">
            <v>Imlani, Regelia</v>
          </cell>
          <cell r="E128" t="str">
            <v xml:space="preserve">Specialty Nurse-Dialysis </v>
          </cell>
          <cell r="F128" t="str">
            <v>Employed</v>
          </cell>
          <cell r="G128" t="str">
            <v>Hemodialysis</v>
          </cell>
          <cell r="H128" t="str">
            <v>Regular</v>
          </cell>
        </row>
        <row r="129">
          <cell r="D129" t="str">
            <v>Jalmanzar, Jade Ayessa</v>
          </cell>
          <cell r="E129" t="str">
            <v>Marketing Associate</v>
          </cell>
          <cell r="F129" t="str">
            <v>Employed</v>
          </cell>
          <cell r="G129" t="str">
            <v>Admin</v>
          </cell>
          <cell r="H129" t="str">
            <v>Regular</v>
          </cell>
        </row>
        <row r="130">
          <cell r="D130" t="str">
            <v>Jamon, Diana Rose</v>
          </cell>
          <cell r="E130" t="str">
            <v>Housekeeping/Linen</v>
          </cell>
          <cell r="F130" t="str">
            <v>Employed</v>
          </cell>
          <cell r="G130" t="str">
            <v>Nursing</v>
          </cell>
          <cell r="H130" t="str">
            <v>Regular</v>
          </cell>
        </row>
        <row r="131">
          <cell r="D131" t="str">
            <v>Janer, Emmanuel</v>
          </cell>
          <cell r="E131" t="str">
            <v>Ambulance Driver S2</v>
          </cell>
          <cell r="F131" t="str">
            <v>Employed</v>
          </cell>
          <cell r="G131" t="str">
            <v>Nursing</v>
          </cell>
          <cell r="H131" t="str">
            <v>Regular</v>
          </cell>
        </row>
        <row r="132">
          <cell r="D132" t="str">
            <v>Janer, Justine</v>
          </cell>
          <cell r="E132" t="str">
            <v>Nursing Attendant - RM</v>
          </cell>
          <cell r="F132" t="str">
            <v>Employed</v>
          </cell>
          <cell r="G132" t="str">
            <v>Nursing</v>
          </cell>
          <cell r="H132" t="str">
            <v>Probationary</v>
          </cell>
        </row>
        <row r="133">
          <cell r="D133" t="str">
            <v>Janoba, Marimar</v>
          </cell>
          <cell r="E133" t="str">
            <v>Head Cashier</v>
          </cell>
          <cell r="F133" t="str">
            <v>Employed</v>
          </cell>
          <cell r="G133" t="str">
            <v>Admin</v>
          </cell>
          <cell r="H133" t="str">
            <v>Regular</v>
          </cell>
        </row>
        <row r="134">
          <cell r="D134" t="str">
            <v>Jarandia, Liezel</v>
          </cell>
          <cell r="E134" t="str">
            <v>Nursing Attendant - non RM S2</v>
          </cell>
          <cell r="F134" t="str">
            <v>Employed</v>
          </cell>
          <cell r="G134" t="str">
            <v>Nursing</v>
          </cell>
          <cell r="H134" t="str">
            <v>Regular</v>
          </cell>
        </row>
        <row r="135">
          <cell r="D135" t="str">
            <v>Jaylo, Ailyn</v>
          </cell>
          <cell r="E135" t="str">
            <v>Claims Clerk</v>
          </cell>
          <cell r="F135" t="str">
            <v>Employed</v>
          </cell>
          <cell r="G135" t="str">
            <v>Admin - HD</v>
          </cell>
          <cell r="H135" t="str">
            <v>Regular</v>
          </cell>
        </row>
        <row r="136">
          <cell r="D136" t="str">
            <v>Jimena, Jonathan</v>
          </cell>
          <cell r="E136" t="str">
            <v>Inventory Clerk</v>
          </cell>
          <cell r="F136" t="str">
            <v>Employed</v>
          </cell>
          <cell r="G136" t="str">
            <v>Admin</v>
          </cell>
          <cell r="H136" t="str">
            <v>Regular</v>
          </cell>
        </row>
        <row r="137">
          <cell r="D137" t="str">
            <v>Jubilo, Marilou</v>
          </cell>
          <cell r="E137" t="str">
            <v>Pharmacy Aide S2</v>
          </cell>
          <cell r="F137" t="str">
            <v>Employed</v>
          </cell>
          <cell r="G137" t="str">
            <v>Pharmacy</v>
          </cell>
          <cell r="H137" t="str">
            <v>Regular</v>
          </cell>
        </row>
        <row r="138">
          <cell r="D138" t="str">
            <v>Labayane, Analisa</v>
          </cell>
          <cell r="E138" t="str">
            <v>Nursing Attendant - RM S2</v>
          </cell>
          <cell r="F138" t="str">
            <v>Employed</v>
          </cell>
          <cell r="G138" t="str">
            <v>CSR</v>
          </cell>
          <cell r="H138" t="str">
            <v>Regular</v>
          </cell>
        </row>
        <row r="139">
          <cell r="D139" t="str">
            <v>Ladimo, Kevin</v>
          </cell>
          <cell r="E139" t="str">
            <v>Medical Technologist</v>
          </cell>
          <cell r="F139" t="str">
            <v>Employed</v>
          </cell>
          <cell r="G139" t="str">
            <v>Laboratory</v>
          </cell>
          <cell r="H139" t="str">
            <v>Regular</v>
          </cell>
        </row>
        <row r="140">
          <cell r="D140" t="str">
            <v>Ladisla, May</v>
          </cell>
          <cell r="E140" t="str">
            <v>Pharmacy Aide S2</v>
          </cell>
          <cell r="F140" t="str">
            <v>Employed</v>
          </cell>
          <cell r="G140" t="str">
            <v>Pharmacy</v>
          </cell>
          <cell r="H140" t="str">
            <v>Regular</v>
          </cell>
        </row>
        <row r="141">
          <cell r="D141" t="str">
            <v>Lagsit, Carine</v>
          </cell>
          <cell r="E141" t="str">
            <v>Medical Records Clerk</v>
          </cell>
          <cell r="F141" t="str">
            <v>Employed</v>
          </cell>
          <cell r="G141" t="str">
            <v>Admin</v>
          </cell>
          <cell r="H141" t="str">
            <v>Regular</v>
          </cell>
        </row>
        <row r="142">
          <cell r="D142" t="str">
            <v>Lajada, Jacqueline</v>
          </cell>
          <cell r="E142" t="str">
            <v>Medical Records Officer</v>
          </cell>
          <cell r="F142" t="str">
            <v>Employed</v>
          </cell>
          <cell r="G142" t="str">
            <v>Admin</v>
          </cell>
          <cell r="H142" t="str">
            <v>Regular</v>
          </cell>
        </row>
        <row r="143">
          <cell r="D143" t="str">
            <v>Legaspi, Shane</v>
          </cell>
          <cell r="E143" t="str">
            <v>Dietary Clerk S2</v>
          </cell>
          <cell r="F143" t="str">
            <v>Employed</v>
          </cell>
          <cell r="G143" t="str">
            <v>Dietary</v>
          </cell>
          <cell r="H143" t="str">
            <v>Regular</v>
          </cell>
        </row>
        <row r="144">
          <cell r="D144" t="str">
            <v>Lladone, Joylyn Camille</v>
          </cell>
          <cell r="E144" t="str">
            <v>Nursing Attendant - non RM</v>
          </cell>
          <cell r="F144" t="str">
            <v>Employed</v>
          </cell>
          <cell r="G144" t="str">
            <v>Nursing</v>
          </cell>
          <cell r="H144" t="str">
            <v>Regular</v>
          </cell>
        </row>
        <row r="145">
          <cell r="D145" t="str">
            <v>Lovedorial, Dhan Kenneth</v>
          </cell>
          <cell r="E145" t="str">
            <v>Food Service Worker</v>
          </cell>
          <cell r="F145" t="str">
            <v>Employed</v>
          </cell>
          <cell r="G145" t="str">
            <v>Dietary</v>
          </cell>
          <cell r="H145" t="str">
            <v>Regular</v>
          </cell>
        </row>
        <row r="146">
          <cell r="D146" t="str">
            <v>Lovedorial, Maria Paula Antonette</v>
          </cell>
          <cell r="E146" t="str">
            <v xml:space="preserve">Junior Bookkeeper </v>
          </cell>
          <cell r="F146" t="str">
            <v>Employed</v>
          </cell>
          <cell r="G146" t="str">
            <v>Admin</v>
          </cell>
          <cell r="H146" t="str">
            <v>Regular</v>
          </cell>
        </row>
        <row r="147">
          <cell r="D147" t="str">
            <v>Lubiano, Bea Raquel</v>
          </cell>
          <cell r="E147" t="str">
            <v>Medical Technologist - Head</v>
          </cell>
          <cell r="F147" t="str">
            <v>Employed</v>
          </cell>
          <cell r="G147" t="str">
            <v>Laboratory</v>
          </cell>
          <cell r="H147" t="str">
            <v>Regular</v>
          </cell>
        </row>
        <row r="148">
          <cell r="D148" t="str">
            <v>Lusuegro, Alyssa Dalene</v>
          </cell>
          <cell r="E148" t="str">
            <v>Claims Clerk</v>
          </cell>
          <cell r="F148" t="str">
            <v>Employed</v>
          </cell>
          <cell r="G148" t="str">
            <v>Admin</v>
          </cell>
          <cell r="H148" t="str">
            <v>Regular</v>
          </cell>
        </row>
        <row r="149">
          <cell r="D149" t="str">
            <v>Luz, Roel</v>
          </cell>
          <cell r="E149" t="str">
            <v>Utility</v>
          </cell>
          <cell r="F149" t="str">
            <v>Employed</v>
          </cell>
          <cell r="G149" t="str">
            <v>Admin</v>
          </cell>
          <cell r="H149" t="str">
            <v>Probationary</v>
          </cell>
        </row>
        <row r="150">
          <cell r="D150" t="str">
            <v>Macapagal, Darra</v>
          </cell>
          <cell r="E150" t="str">
            <v>Nursing Attendant - RM S2</v>
          </cell>
          <cell r="F150" t="str">
            <v>Employed</v>
          </cell>
          <cell r="G150" t="str">
            <v>Nursing</v>
          </cell>
          <cell r="H150" t="str">
            <v>Regular</v>
          </cell>
        </row>
        <row r="151">
          <cell r="D151" t="str">
            <v>Mantala, Hanna Kathrina</v>
          </cell>
          <cell r="E151" t="str">
            <v>Staff Nurse I</v>
          </cell>
          <cell r="F151" t="str">
            <v>Employed</v>
          </cell>
          <cell r="G151" t="str">
            <v>Nursing</v>
          </cell>
          <cell r="H151" t="str">
            <v>Regular</v>
          </cell>
        </row>
        <row r="152">
          <cell r="D152" t="str">
            <v>Marantal, Mycah</v>
          </cell>
          <cell r="E152" t="str">
            <v>Admitting Clerk</v>
          </cell>
          <cell r="F152" t="str">
            <v>Employed</v>
          </cell>
          <cell r="G152" t="str">
            <v>Nursing</v>
          </cell>
          <cell r="H152" t="str">
            <v>Regular</v>
          </cell>
        </row>
        <row r="153">
          <cell r="D153" t="str">
            <v>Marcaida, Ryan Clint</v>
          </cell>
          <cell r="E153" t="str">
            <v>Claims Clerk</v>
          </cell>
          <cell r="F153" t="str">
            <v>Employed</v>
          </cell>
          <cell r="G153" t="str">
            <v>Admin</v>
          </cell>
          <cell r="H153" t="str">
            <v>Regular</v>
          </cell>
        </row>
        <row r="154">
          <cell r="D154" t="str">
            <v>Margallo, Kaye</v>
          </cell>
          <cell r="E154" t="str">
            <v>Specialty Nurse-ICU</v>
          </cell>
          <cell r="F154" t="str">
            <v>Employed</v>
          </cell>
          <cell r="G154" t="str">
            <v>Nursing</v>
          </cell>
          <cell r="H154" t="str">
            <v>Regular</v>
          </cell>
        </row>
        <row r="155">
          <cell r="D155" t="str">
            <v>Marmol, Kristine Gie</v>
          </cell>
          <cell r="E155" t="str">
            <v>Clerk Pool</v>
          </cell>
          <cell r="F155" t="str">
            <v>Employed</v>
          </cell>
          <cell r="G155" t="str">
            <v>Admin</v>
          </cell>
          <cell r="H155" t="str">
            <v>Regular</v>
          </cell>
        </row>
        <row r="156">
          <cell r="D156" t="str">
            <v>Marmol, Mary Helaine</v>
          </cell>
          <cell r="E156" t="str">
            <v>Staff Nurse I</v>
          </cell>
          <cell r="F156" t="str">
            <v>Employed</v>
          </cell>
          <cell r="G156" t="str">
            <v>Nursing</v>
          </cell>
          <cell r="H156" t="str">
            <v>Regular</v>
          </cell>
        </row>
        <row r="157">
          <cell r="D157" t="str">
            <v xml:space="preserve">Medes, Daisy </v>
          </cell>
          <cell r="E157" t="str">
            <v>Nursing Attendant - RM S2</v>
          </cell>
          <cell r="F157" t="str">
            <v>Employed</v>
          </cell>
          <cell r="G157" t="str">
            <v>Nursing</v>
          </cell>
          <cell r="H157" t="str">
            <v>Regular</v>
          </cell>
        </row>
        <row r="158">
          <cell r="D158" t="str">
            <v>Millenas, Shiela</v>
          </cell>
          <cell r="E158" t="str">
            <v>HR Staff</v>
          </cell>
          <cell r="F158" t="str">
            <v>Employed</v>
          </cell>
          <cell r="G158" t="str">
            <v>Admin</v>
          </cell>
          <cell r="H158" t="str">
            <v>Regular</v>
          </cell>
        </row>
        <row r="159">
          <cell r="D159" t="str">
            <v>Mirasol, Beatriz</v>
          </cell>
          <cell r="E159" t="str">
            <v>Medical Technologist</v>
          </cell>
          <cell r="F159" t="str">
            <v>Employed</v>
          </cell>
          <cell r="G159" t="str">
            <v>Laboratory</v>
          </cell>
          <cell r="H159" t="str">
            <v>Regular</v>
          </cell>
        </row>
        <row r="160">
          <cell r="D160" t="str">
            <v>Moreno, Deena Myla</v>
          </cell>
          <cell r="E160" t="str">
            <v>Specialty Nurse-Dialysis S2</v>
          </cell>
          <cell r="F160" t="str">
            <v>Employed</v>
          </cell>
          <cell r="G160" t="str">
            <v>Nursing</v>
          </cell>
          <cell r="H160" t="str">
            <v>Regular</v>
          </cell>
        </row>
        <row r="161">
          <cell r="D161" t="str">
            <v>Nate, Adrian</v>
          </cell>
          <cell r="E161" t="str">
            <v>Medical Technologist</v>
          </cell>
          <cell r="F161" t="str">
            <v>Employed</v>
          </cell>
          <cell r="G161" t="str">
            <v>Laboratory</v>
          </cell>
          <cell r="H161" t="str">
            <v>Regular</v>
          </cell>
        </row>
        <row r="162">
          <cell r="D162" t="str">
            <v xml:space="preserve">Nebril, Connie </v>
          </cell>
          <cell r="E162" t="str">
            <v>Nursing Attendant - RM</v>
          </cell>
          <cell r="F162" t="str">
            <v>Employed</v>
          </cell>
          <cell r="G162" t="str">
            <v>CSR</v>
          </cell>
          <cell r="H162" t="str">
            <v>Regular</v>
          </cell>
        </row>
        <row r="163">
          <cell r="D163" t="str">
            <v>Obsum, Ronald Angelo</v>
          </cell>
          <cell r="E163" t="str">
            <v>Procurement Staff S2</v>
          </cell>
          <cell r="F163" t="str">
            <v>Employed</v>
          </cell>
          <cell r="G163" t="str">
            <v>Admin</v>
          </cell>
          <cell r="H163" t="str">
            <v>Regular</v>
          </cell>
        </row>
        <row r="164">
          <cell r="D164" t="str">
            <v>Onan, Emmanuel</v>
          </cell>
          <cell r="E164" t="str">
            <v>Specialty Nurse-Ambulance</v>
          </cell>
          <cell r="F164" t="str">
            <v>Employed</v>
          </cell>
          <cell r="G164" t="str">
            <v>Nursing</v>
          </cell>
          <cell r="H164" t="str">
            <v>Regular</v>
          </cell>
        </row>
        <row r="165">
          <cell r="D165" t="str">
            <v>Osoyus, Aldrin</v>
          </cell>
          <cell r="E165" t="str">
            <v>HD Technician.</v>
          </cell>
          <cell r="F165" t="str">
            <v>Employed</v>
          </cell>
          <cell r="G165" t="str">
            <v>Hemodialysis</v>
          </cell>
          <cell r="H165" t="str">
            <v>Regular</v>
          </cell>
        </row>
        <row r="166">
          <cell r="D166" t="str">
            <v>Padlan, Kevin</v>
          </cell>
          <cell r="E166" t="str">
            <v>Institutional Worker-HD</v>
          </cell>
          <cell r="F166" t="str">
            <v>Employed</v>
          </cell>
          <cell r="G166" t="str">
            <v>Hemodialysis</v>
          </cell>
          <cell r="H166" t="str">
            <v>Regular</v>
          </cell>
        </row>
        <row r="167">
          <cell r="D167" t="str">
            <v>Pajac, Erika</v>
          </cell>
          <cell r="E167" t="str">
            <v>Social Worker</v>
          </cell>
          <cell r="F167" t="str">
            <v>Employed</v>
          </cell>
          <cell r="G167" t="str">
            <v>Admin</v>
          </cell>
          <cell r="H167" t="str">
            <v>Regular</v>
          </cell>
        </row>
        <row r="168">
          <cell r="D168" t="str">
            <v>Paras, John Matthew</v>
          </cell>
          <cell r="E168" t="str">
            <v>IT Head</v>
          </cell>
          <cell r="F168" t="str">
            <v>Employed</v>
          </cell>
          <cell r="G168" t="str">
            <v>Admin</v>
          </cell>
          <cell r="H168" t="str">
            <v>Regular</v>
          </cell>
        </row>
        <row r="169">
          <cell r="D169" t="str">
            <v>Pelina, Salvacion</v>
          </cell>
          <cell r="E169" t="str">
            <v>Staff Nurse I</v>
          </cell>
          <cell r="F169" t="str">
            <v>Employed</v>
          </cell>
          <cell r="G169" t="str">
            <v>Hemodialysis</v>
          </cell>
          <cell r="H169" t="str">
            <v>Regular</v>
          </cell>
        </row>
        <row r="170">
          <cell r="D170" t="str">
            <v>Perdigon, Joshua</v>
          </cell>
          <cell r="E170" t="str">
            <v>Pharmacy Aide S2</v>
          </cell>
          <cell r="F170" t="str">
            <v>Employed</v>
          </cell>
          <cell r="G170" t="str">
            <v>Pharmacy</v>
          </cell>
          <cell r="H170" t="str">
            <v>Regular</v>
          </cell>
        </row>
        <row r="171">
          <cell r="D171" t="str">
            <v>Perez, Kaye</v>
          </cell>
          <cell r="E171" t="str">
            <v>Staff Nurse I</v>
          </cell>
          <cell r="F171" t="str">
            <v>Employed</v>
          </cell>
          <cell r="G171" t="str">
            <v>Nursing</v>
          </cell>
          <cell r="H171" t="str">
            <v>Probationary</v>
          </cell>
        </row>
        <row r="172">
          <cell r="D172" t="str">
            <v>Puna, Wilmar</v>
          </cell>
          <cell r="E172" t="str">
            <v>Institutional Worker</v>
          </cell>
          <cell r="F172" t="str">
            <v>Employed</v>
          </cell>
          <cell r="G172" t="str">
            <v>Nursing</v>
          </cell>
          <cell r="H172" t="str">
            <v>Regular</v>
          </cell>
        </row>
        <row r="173">
          <cell r="D173" t="str">
            <v xml:space="preserve">Pura, Joel </v>
          </cell>
          <cell r="E173" t="str">
            <v>HD Technician</v>
          </cell>
          <cell r="F173" t="str">
            <v>Employed</v>
          </cell>
          <cell r="G173" t="str">
            <v>Hemodialysis</v>
          </cell>
          <cell r="H173" t="str">
            <v>Regular</v>
          </cell>
        </row>
        <row r="174">
          <cell r="D174" t="str">
            <v>Pura, Kaila Marie</v>
          </cell>
          <cell r="E174" t="str">
            <v>Staff Nurse I</v>
          </cell>
          <cell r="F174" t="str">
            <v>Employed</v>
          </cell>
          <cell r="G174" t="str">
            <v>Nursing</v>
          </cell>
          <cell r="H174" t="str">
            <v>Regular</v>
          </cell>
        </row>
        <row r="175">
          <cell r="D175" t="str">
            <v>Quiñones, Iui</v>
          </cell>
          <cell r="E175" t="str">
            <v>Hemodialysis Clerk S2</v>
          </cell>
          <cell r="F175" t="str">
            <v>Employed</v>
          </cell>
          <cell r="G175" t="str">
            <v>Admin - HD</v>
          </cell>
          <cell r="H175" t="str">
            <v>Regular</v>
          </cell>
        </row>
        <row r="176">
          <cell r="D176" t="str">
            <v>Ragas, Visitacion</v>
          </cell>
          <cell r="E176" t="str">
            <v>Staff Nurse II S2</v>
          </cell>
          <cell r="F176" t="str">
            <v>Employed</v>
          </cell>
          <cell r="G176" t="str">
            <v>Nursing</v>
          </cell>
          <cell r="H176" t="str">
            <v>Regular</v>
          </cell>
        </row>
        <row r="177">
          <cell r="D177" t="str">
            <v>Resurreccion, Maybelle Claudia</v>
          </cell>
          <cell r="E177" t="str">
            <v>Staff Nurse I</v>
          </cell>
          <cell r="F177" t="str">
            <v>Employed</v>
          </cell>
          <cell r="G177" t="str">
            <v>Nursing</v>
          </cell>
          <cell r="H177" t="str">
            <v>Regular</v>
          </cell>
        </row>
        <row r="178">
          <cell r="D178" t="str">
            <v>Rivera, Benedict</v>
          </cell>
          <cell r="E178" t="str">
            <v>Admitting Clerk S2</v>
          </cell>
          <cell r="F178" t="str">
            <v>Employed</v>
          </cell>
          <cell r="G178" t="str">
            <v>Nursing</v>
          </cell>
          <cell r="H178" t="str">
            <v>Regular</v>
          </cell>
        </row>
        <row r="179">
          <cell r="D179" t="str">
            <v>Rivera, Mikaela</v>
          </cell>
          <cell r="E179" t="str">
            <v>Staff Nurse I</v>
          </cell>
          <cell r="F179" t="str">
            <v>Employed</v>
          </cell>
          <cell r="G179" t="str">
            <v>Nursing</v>
          </cell>
          <cell r="H179" t="str">
            <v>Regular</v>
          </cell>
        </row>
        <row r="180">
          <cell r="D180" t="str">
            <v>Rumaquin, Thalia</v>
          </cell>
          <cell r="E180" t="str">
            <v>Janitorial Staff</v>
          </cell>
          <cell r="F180" t="str">
            <v>Employed</v>
          </cell>
          <cell r="G180" t="str">
            <v>Admin</v>
          </cell>
          <cell r="H180" t="str">
            <v>Regular</v>
          </cell>
        </row>
        <row r="181">
          <cell r="D181" t="str">
            <v>Santiago, Rhodessa Mae</v>
          </cell>
          <cell r="E181" t="str">
            <v>Claims Clerk S2</v>
          </cell>
          <cell r="F181" t="str">
            <v>Employed</v>
          </cell>
          <cell r="G181" t="str">
            <v>Admin</v>
          </cell>
          <cell r="H181" t="str">
            <v>Regular</v>
          </cell>
        </row>
        <row r="182">
          <cell r="D182" t="str">
            <v>Santos, Olivia</v>
          </cell>
          <cell r="E182" t="str">
            <v>Staff Nurse II S2</v>
          </cell>
          <cell r="F182" t="str">
            <v>Employed</v>
          </cell>
          <cell r="G182" t="str">
            <v>Nursing</v>
          </cell>
          <cell r="H182" t="str">
            <v>Regular</v>
          </cell>
        </row>
        <row r="183">
          <cell r="D183" t="str">
            <v>Sumawang, Maria Fe</v>
          </cell>
          <cell r="E183" t="str">
            <v>Radiology Assistant/Technician</v>
          </cell>
          <cell r="F183" t="str">
            <v>Employed</v>
          </cell>
          <cell r="G183" t="str">
            <v>Radiology</v>
          </cell>
          <cell r="H183" t="str">
            <v>Regular</v>
          </cell>
        </row>
        <row r="184">
          <cell r="D184" t="str">
            <v>Sumawang, Sergio Jr.</v>
          </cell>
          <cell r="E184" t="str">
            <v>HD Technician Head</v>
          </cell>
          <cell r="F184" t="str">
            <v>Employed</v>
          </cell>
          <cell r="G184" t="str">
            <v>Hemodialysis</v>
          </cell>
          <cell r="H184" t="str">
            <v>Regular</v>
          </cell>
        </row>
        <row r="185">
          <cell r="D185" t="str">
            <v>Tañedo, Carl Christian</v>
          </cell>
          <cell r="E185" t="str">
            <v>Institutional Worker S2</v>
          </cell>
          <cell r="F185" t="str">
            <v>Employed</v>
          </cell>
          <cell r="G185" t="str">
            <v>Nursing</v>
          </cell>
          <cell r="H185" t="str">
            <v>Regular</v>
          </cell>
        </row>
        <row r="186">
          <cell r="D186" t="str">
            <v>Teves, Aster</v>
          </cell>
          <cell r="E186" t="str">
            <v>Specialty Nurse-OR</v>
          </cell>
          <cell r="F186" t="str">
            <v>Employed</v>
          </cell>
          <cell r="G186" t="str">
            <v>Nursing</v>
          </cell>
          <cell r="H186" t="str">
            <v>Regular</v>
          </cell>
        </row>
        <row r="187">
          <cell r="D187" t="str">
            <v>Uson, Anthony</v>
          </cell>
          <cell r="E187" t="str">
            <v>Radiology Assistant/Technician S2</v>
          </cell>
          <cell r="F187" t="str">
            <v>Employed</v>
          </cell>
          <cell r="G187" t="str">
            <v>Radiology</v>
          </cell>
          <cell r="H187" t="str">
            <v>Regular</v>
          </cell>
        </row>
        <row r="188">
          <cell r="D188" t="str">
            <v>Valino, Angelica Shane</v>
          </cell>
          <cell r="E188" t="str">
            <v>Staff Nurse II</v>
          </cell>
          <cell r="F188" t="str">
            <v>Employed</v>
          </cell>
          <cell r="G188" t="str">
            <v>Hemodialysis</v>
          </cell>
          <cell r="H188" t="str">
            <v>Regular</v>
          </cell>
        </row>
        <row r="189">
          <cell r="D189" t="str">
            <v>Velasco, Rojean</v>
          </cell>
          <cell r="E189" t="str">
            <v>Staff Nurse I</v>
          </cell>
          <cell r="F189" t="str">
            <v>Employed</v>
          </cell>
          <cell r="G189" t="str">
            <v>Hemodialysis</v>
          </cell>
          <cell r="H189" t="str">
            <v>Regular</v>
          </cell>
        </row>
        <row r="190">
          <cell r="D190" t="str">
            <v>Velasco, Rommel</v>
          </cell>
          <cell r="E190" t="str">
            <v>Pharmacy Aide S2</v>
          </cell>
          <cell r="F190" t="str">
            <v>Employed</v>
          </cell>
          <cell r="G190" t="str">
            <v>Pharmacy</v>
          </cell>
          <cell r="H190" t="str">
            <v>Regular</v>
          </cell>
        </row>
        <row r="191">
          <cell r="D191" t="str">
            <v>Venus, Maila</v>
          </cell>
          <cell r="E191" t="str">
            <v>Social Services Staff</v>
          </cell>
          <cell r="F191" t="str">
            <v>Employed</v>
          </cell>
          <cell r="G191" t="str">
            <v>Admin</v>
          </cell>
          <cell r="H191" t="str">
            <v>Regular</v>
          </cell>
        </row>
        <row r="192">
          <cell r="D192" t="str">
            <v>Vergara, Jack</v>
          </cell>
          <cell r="E192" t="str">
            <v>Institutional Worker-HD</v>
          </cell>
          <cell r="F192" t="str">
            <v>Employed</v>
          </cell>
          <cell r="G192" t="str">
            <v>Hemodialysis</v>
          </cell>
          <cell r="H192" t="str">
            <v>Regular</v>
          </cell>
        </row>
        <row r="193">
          <cell r="D193" t="str">
            <v>Villena, Salvacion</v>
          </cell>
          <cell r="E193" t="str">
            <v>Radiologic Technologist S2</v>
          </cell>
          <cell r="F193" t="str">
            <v>Employed</v>
          </cell>
          <cell r="G193" t="str">
            <v>Radiology</v>
          </cell>
          <cell r="H193" t="str">
            <v>Regular</v>
          </cell>
        </row>
        <row r="194">
          <cell r="D194" t="str">
            <v>Waje, Yhukie Cassandra</v>
          </cell>
          <cell r="E194" t="str">
            <v>Internal Audit Staff</v>
          </cell>
          <cell r="F194" t="str">
            <v>Employed</v>
          </cell>
          <cell r="G194" t="str">
            <v>Admin</v>
          </cell>
          <cell r="H194" t="str">
            <v>Regular</v>
          </cell>
        </row>
        <row r="195">
          <cell r="D195" t="str">
            <v>Yu, Irene Hazel</v>
          </cell>
          <cell r="E195" t="str">
            <v>Phlebotomist</v>
          </cell>
          <cell r="F195" t="str">
            <v>Employed</v>
          </cell>
          <cell r="G195" t="str">
            <v>Laboratory</v>
          </cell>
          <cell r="H195" t="str">
            <v>Regular</v>
          </cell>
        </row>
        <row r="196">
          <cell r="D196" t="str">
            <v>Ziga, Jyrie</v>
          </cell>
          <cell r="E196" t="str">
            <v>Nutritionist-Dietitian</v>
          </cell>
          <cell r="F196" t="str">
            <v>Employed</v>
          </cell>
          <cell r="G196" t="str">
            <v>Dietary</v>
          </cell>
          <cell r="H196" t="str">
            <v>Regular</v>
          </cell>
        </row>
      </sheetData>
      <sheetData sheetId="33"/>
      <sheetData sheetId="34"/>
      <sheetData sheetId="3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A92C-48C9-4C1E-80F4-EBF2CF5D1031}">
  <dimension ref="A1:E192"/>
  <sheetViews>
    <sheetView tabSelected="1" workbookViewId="0">
      <selection activeCell="J16" sqref="J16"/>
    </sheetView>
  </sheetViews>
  <sheetFormatPr defaultRowHeight="15" x14ac:dyDescent="0.25"/>
  <cols>
    <col min="1" max="1" width="28.140625" bestFit="1" customWidth="1"/>
    <col min="2" max="2" width="28.28515625" bestFit="1" customWidth="1"/>
    <col min="3" max="3" width="8.5703125" bestFit="1" customWidth="1"/>
    <col min="4" max="4" width="10.85546875" bestFit="1" customWidth="1"/>
    <col min="5" max="5" width="14.28515625" bestFit="1" customWidth="1"/>
  </cols>
  <sheetData>
    <row r="1" spans="1:5" x14ac:dyDescent="0.25">
      <c r="A1" s="1" t="s">
        <v>0</v>
      </c>
      <c r="B1" s="2" t="str">
        <f>VLOOKUP($A1,'[1]List of Employees'!$D:$H,2,FALSE)</f>
        <v>Staff Nurse I</v>
      </c>
      <c r="C1" s="1" t="s">
        <v>1</v>
      </c>
      <c r="D1" s="3" t="str">
        <f>VLOOKUP($A1,'[1]List of Employees'!$D:$H,5,FALSE)</f>
        <v>Regular</v>
      </c>
      <c r="E1" s="3" t="str">
        <f>VLOOKUP($A1,'[1]List of Employees'!$D:$H,4,FALSE)</f>
        <v>Hemodialysis</v>
      </c>
    </row>
    <row r="2" spans="1:5" x14ac:dyDescent="0.25">
      <c r="A2" s="2" t="s">
        <v>2</v>
      </c>
      <c r="B2" s="2" t="str">
        <f>VLOOKUP($A2,'[1]List of Employees'!$D:$H,2,FALSE)</f>
        <v>Supply and Property Staff</v>
      </c>
      <c r="C2" s="2" t="str">
        <f>VLOOKUP($A2,'[1]List of Employees'!$D:$H,3,FALSE)</f>
        <v>Employed</v>
      </c>
      <c r="D2" s="3" t="str">
        <f>VLOOKUP($A2,'[1]List of Employees'!$D:$H,5,FALSE)</f>
        <v>Regular</v>
      </c>
      <c r="E2" s="3" t="str">
        <f>VLOOKUP($A2,'[1]List of Employees'!$D:$H,4,FALSE)</f>
        <v>Admin</v>
      </c>
    </row>
    <row r="3" spans="1:5" x14ac:dyDescent="0.25">
      <c r="A3" s="2" t="s">
        <v>3</v>
      </c>
      <c r="B3" s="2" t="str">
        <f>VLOOKUP($A3,'[1]List of Employees'!$D:$H,2,FALSE)</f>
        <v>Compliance Staff S2</v>
      </c>
      <c r="C3" s="2" t="str">
        <f>VLOOKUP($A3,'[1]List of Employees'!$D:$H,3,FALSE)</f>
        <v>Employed</v>
      </c>
      <c r="D3" s="3" t="str">
        <f>VLOOKUP($A3,'[1]List of Employees'!$D:$H,5,FALSE)</f>
        <v>Regular</v>
      </c>
      <c r="E3" s="3" t="str">
        <f>VLOOKUP($A3,'[1]List of Employees'!$D:$H,4,FALSE)</f>
        <v>Admin</v>
      </c>
    </row>
    <row r="4" spans="1:5" x14ac:dyDescent="0.25">
      <c r="A4" s="2" t="s">
        <v>4</v>
      </c>
      <c r="B4" s="2" t="str">
        <f>VLOOKUP($A4,'[1]List of Employees'!$D:$H,2,FALSE)</f>
        <v>Head Cashier</v>
      </c>
      <c r="C4" s="2" t="str">
        <f>VLOOKUP($A4,'[1]List of Employees'!$D:$H,3,FALSE)</f>
        <v>Employed</v>
      </c>
      <c r="D4" s="3" t="str">
        <f>VLOOKUP($A4,'[1]List of Employees'!$D:$H,5,FALSE)</f>
        <v>Regular</v>
      </c>
      <c r="E4" s="3" t="str">
        <f>VLOOKUP($A4,'[1]List of Employees'!$D:$H,4,FALSE)</f>
        <v>Admin</v>
      </c>
    </row>
    <row r="5" spans="1:5" x14ac:dyDescent="0.25">
      <c r="A5" s="2" t="s">
        <v>5</v>
      </c>
      <c r="B5" s="2" t="str">
        <f>VLOOKUP($A5,'[1]List of Employees'!$D:$H,2,FALSE)</f>
        <v xml:space="preserve">Junior Bookkeeper </v>
      </c>
      <c r="C5" s="2" t="str">
        <f>VLOOKUP($A5,'[1]List of Employees'!$D:$H,3,FALSE)</f>
        <v>Employed</v>
      </c>
      <c r="D5" s="3" t="str">
        <f>VLOOKUP($A5,'[1]List of Employees'!$D:$H,5,FALSE)</f>
        <v>Regular</v>
      </c>
      <c r="E5" s="3" t="str">
        <f>VLOOKUP($A5,'[1]List of Employees'!$D:$H,4,FALSE)</f>
        <v>Admin</v>
      </c>
    </row>
    <row r="6" spans="1:5" x14ac:dyDescent="0.25">
      <c r="A6" s="2" t="s">
        <v>6</v>
      </c>
      <c r="B6" s="2" t="str">
        <f>VLOOKUP($A6,'[1]List of Employees'!$D:$H,2,FALSE)</f>
        <v>Claims Clerk</v>
      </c>
      <c r="C6" s="2" t="str">
        <f>VLOOKUP($A6,'[1]List of Employees'!$D:$H,3,FALSE)</f>
        <v>Employed</v>
      </c>
      <c r="D6" s="3" t="str">
        <f>VLOOKUP($A6,'[1]List of Employees'!$D:$H,5,FALSE)</f>
        <v>Regular</v>
      </c>
      <c r="E6" s="3" t="str">
        <f>VLOOKUP($A6,'[1]List of Employees'!$D:$H,4,FALSE)</f>
        <v>Admin - HD</v>
      </c>
    </row>
    <row r="7" spans="1:5" x14ac:dyDescent="0.25">
      <c r="A7" s="1" t="s">
        <v>7</v>
      </c>
      <c r="B7" s="2" t="str">
        <f>VLOOKUP($A7,'[1]List of Employees'!$D:$H,2,FALSE)</f>
        <v>Cook/ Kitchen Staff</v>
      </c>
      <c r="C7" s="1" t="s">
        <v>1</v>
      </c>
      <c r="D7" s="3" t="str">
        <f>VLOOKUP($A7,'[1]List of Employees'!$D:$H,5,FALSE)</f>
        <v>Probationary</v>
      </c>
      <c r="E7" s="3" t="str">
        <f>VLOOKUP($A7,'[1]List of Employees'!$D:$H,4,FALSE)</f>
        <v>Dietary</v>
      </c>
    </row>
    <row r="8" spans="1:5" x14ac:dyDescent="0.25">
      <c r="A8" s="2" t="s">
        <v>8</v>
      </c>
      <c r="B8" s="2" t="str">
        <f>VLOOKUP($A8,'[1]List of Employees'!$D:$H,2,FALSE)</f>
        <v>Supply and Property Staff S2</v>
      </c>
      <c r="C8" s="2" t="str">
        <f>VLOOKUP($A8,'[1]List of Employees'!$D:$H,3,FALSE)</f>
        <v>Employed</v>
      </c>
      <c r="D8" s="3" t="str">
        <f>VLOOKUP($A8,'[1]List of Employees'!$D:$H,5,FALSE)</f>
        <v>Regular</v>
      </c>
      <c r="E8" s="3" t="str">
        <f>VLOOKUP($A8,'[1]List of Employees'!$D:$H,4,FALSE)</f>
        <v>Admin</v>
      </c>
    </row>
    <row r="9" spans="1:5" x14ac:dyDescent="0.25">
      <c r="A9" s="2" t="s">
        <v>9</v>
      </c>
      <c r="B9" s="2" t="str">
        <f>VLOOKUP($A9,'[1]List of Employees'!$D:$H,2,FALSE)</f>
        <v>Ambulance Driver S2</v>
      </c>
      <c r="C9" s="2" t="str">
        <f>VLOOKUP($A9,'[1]List of Employees'!$D:$H,3,FALSE)</f>
        <v>Employed</v>
      </c>
      <c r="D9" s="3" t="str">
        <f>VLOOKUP($A9,'[1]List of Employees'!$D:$H,5,FALSE)</f>
        <v>Regular</v>
      </c>
      <c r="E9" s="3" t="str">
        <f>VLOOKUP($A9,'[1]List of Employees'!$D:$H,4,FALSE)</f>
        <v>Nursing</v>
      </c>
    </row>
    <row r="10" spans="1:5" x14ac:dyDescent="0.25">
      <c r="A10" s="1" t="s">
        <v>10</v>
      </c>
      <c r="B10" s="2" t="str">
        <f>VLOOKUP($A10,'[1]List of Employees'!$D:$H,2,FALSE)</f>
        <v>Utility</v>
      </c>
      <c r="C10" s="1" t="s">
        <v>1</v>
      </c>
      <c r="D10" s="3" t="str">
        <f>VLOOKUP($A10,'[1]List of Employees'!$D:$H,5,FALSE)</f>
        <v>Probationary</v>
      </c>
      <c r="E10" s="3" t="str">
        <f>VLOOKUP($A10,'[1]List of Employees'!$D:$H,4,FALSE)</f>
        <v>Admin</v>
      </c>
    </row>
    <row r="11" spans="1:5" x14ac:dyDescent="0.25">
      <c r="A11" s="2" t="s">
        <v>11</v>
      </c>
      <c r="B11" s="2" t="str">
        <f>VLOOKUP($A11,'[1]List of Employees'!$D:$H,2,FALSE)</f>
        <v>Procurement Staff S2</v>
      </c>
      <c r="C11" s="2" t="str">
        <f>VLOOKUP($A11,'[1]List of Employees'!$D:$H,3,FALSE)</f>
        <v>Employed</v>
      </c>
      <c r="D11" s="3" t="str">
        <f>VLOOKUP($A11,'[1]List of Employees'!$D:$H,5,FALSE)</f>
        <v>Regular</v>
      </c>
      <c r="E11" s="3" t="str">
        <f>VLOOKUP($A11,'[1]List of Employees'!$D:$H,4,FALSE)</f>
        <v>Admin</v>
      </c>
    </row>
    <row r="12" spans="1:5" x14ac:dyDescent="0.25">
      <c r="A12" s="2" t="s">
        <v>12</v>
      </c>
      <c r="B12" s="2" t="str">
        <f>VLOOKUP($A12,'[1]List of Employees'!$D:$H,2,FALSE)</f>
        <v>HR Officer</v>
      </c>
      <c r="C12" s="2" t="str">
        <f>VLOOKUP($A12,'[1]List of Employees'!$D:$H,3,FALSE)</f>
        <v>Employed</v>
      </c>
      <c r="D12" s="3" t="str">
        <f>VLOOKUP($A12,'[1]List of Employees'!$D:$H,5,FALSE)</f>
        <v>Regular</v>
      </c>
      <c r="E12" s="3" t="str">
        <f>VLOOKUP($A12,'[1]List of Employees'!$D:$H,4,FALSE)</f>
        <v>Admin</v>
      </c>
    </row>
    <row r="13" spans="1:5" x14ac:dyDescent="0.25">
      <c r="A13" s="2" t="s">
        <v>13</v>
      </c>
      <c r="B13" s="2" t="str">
        <f>VLOOKUP($A13,'[1]List of Employees'!$D:$H,2,FALSE)</f>
        <v>Medical Secretary S2</v>
      </c>
      <c r="C13" s="2" t="str">
        <f>VLOOKUP($A13,'[1]List of Employees'!$D:$H,3,FALSE)</f>
        <v>Employed</v>
      </c>
      <c r="D13" s="3" t="str">
        <f>VLOOKUP($A13,'[1]List of Employees'!$D:$H,5,FALSE)</f>
        <v>Regular</v>
      </c>
      <c r="E13" s="3" t="str">
        <f>VLOOKUP($A13,'[1]List of Employees'!$D:$H,4,FALSE)</f>
        <v>Admin</v>
      </c>
    </row>
    <row r="14" spans="1:5" x14ac:dyDescent="0.25">
      <c r="A14" s="1" t="s">
        <v>14</v>
      </c>
      <c r="B14" s="2" t="str">
        <f>VLOOKUP($A14,'[1]List of Employees'!$D:$H,2,FALSE)</f>
        <v>Office Secretary</v>
      </c>
      <c r="C14" s="2" t="str">
        <f>VLOOKUP($A14,'[1]List of Employees'!$D:$H,3,FALSE)</f>
        <v>Employed</v>
      </c>
      <c r="D14" s="3" t="str">
        <f>VLOOKUP($A14,'[1]List of Employees'!$D:$H,5,FALSE)</f>
        <v>Regular</v>
      </c>
      <c r="E14" s="3" t="str">
        <f>VLOOKUP($A14,'[1]List of Employees'!$D:$H,4,FALSE)</f>
        <v>Admin</v>
      </c>
    </row>
    <row r="15" spans="1:5" x14ac:dyDescent="0.25">
      <c r="A15" s="1" t="s">
        <v>15</v>
      </c>
      <c r="B15" s="2" t="str">
        <f>VLOOKUP($A15,'[1]List of Employees'!$D:$H,2,FALSE)</f>
        <v>Food Service Worker</v>
      </c>
      <c r="C15" s="2" t="str">
        <f>VLOOKUP($A15,'[1]List of Employees'!$D:$H,3,FALSE)</f>
        <v>Employed</v>
      </c>
      <c r="D15" s="3" t="str">
        <f>VLOOKUP($A15,'[1]List of Employees'!$D:$H,5,FALSE)</f>
        <v>Regular</v>
      </c>
      <c r="E15" s="3" t="str">
        <f>VLOOKUP($A15,'[1]List of Employees'!$D:$H,4,FALSE)</f>
        <v>Dietary</v>
      </c>
    </row>
    <row r="16" spans="1:5" x14ac:dyDescent="0.25">
      <c r="A16" s="2" t="s">
        <v>16</v>
      </c>
      <c r="B16" s="2" t="str">
        <f>VLOOKUP($A16,'[1]List of Employees'!$D:$H,2,FALSE)</f>
        <v>Accounting Clerk</v>
      </c>
      <c r="C16" s="2" t="str">
        <f>VLOOKUP($A16,'[1]List of Employees'!$D:$H,3,FALSE)</f>
        <v>Employed</v>
      </c>
      <c r="D16" s="3" t="str">
        <f>VLOOKUP($A16,'[1]List of Employees'!$D:$H,5,FALSE)</f>
        <v>Regular</v>
      </c>
      <c r="E16" s="3" t="str">
        <f>VLOOKUP($A16,'[1]List of Employees'!$D:$H,4,FALSE)</f>
        <v>Admin</v>
      </c>
    </row>
    <row r="17" spans="1:5" x14ac:dyDescent="0.25">
      <c r="A17" s="1" t="s">
        <v>17</v>
      </c>
      <c r="B17" s="2" t="str">
        <f>VLOOKUP($A17,'[1]List of Employees'!$D:$H,2,FALSE)</f>
        <v>Inventory Clerk</v>
      </c>
      <c r="C17" s="2" t="str">
        <f>VLOOKUP($A17,'[1]List of Employees'!$D:$H,3,FALSE)</f>
        <v>Employed</v>
      </c>
      <c r="D17" s="3" t="str">
        <f>VLOOKUP($A17,'[1]List of Employees'!$D:$H,5,FALSE)</f>
        <v>Regular</v>
      </c>
      <c r="E17" s="3" t="str">
        <f>VLOOKUP($A17,'[1]List of Employees'!$D:$H,4,FALSE)</f>
        <v>Admin</v>
      </c>
    </row>
    <row r="18" spans="1:5" x14ac:dyDescent="0.25">
      <c r="A18" s="1" t="s">
        <v>18</v>
      </c>
      <c r="B18" s="2" t="str">
        <f>VLOOKUP($A18,'[1]List of Employees'!$D:$H,2,FALSE)</f>
        <v>Accounting Clerk</v>
      </c>
      <c r="C18" s="2" t="str">
        <f>VLOOKUP($A18,'[1]List of Employees'!$D:$H,3,FALSE)</f>
        <v>Employed</v>
      </c>
      <c r="D18" s="3" t="str">
        <f>VLOOKUP($A18,'[1]List of Employees'!$D:$H,5,FALSE)</f>
        <v>Regular</v>
      </c>
      <c r="E18" s="3" t="str">
        <f>VLOOKUP($A18,'[1]List of Employees'!$D:$H,4,FALSE)</f>
        <v>Admin</v>
      </c>
    </row>
    <row r="19" spans="1:5" x14ac:dyDescent="0.25">
      <c r="A19" s="2" t="s">
        <v>19</v>
      </c>
      <c r="B19" s="2" t="str">
        <f>VLOOKUP($A19,'[1]List of Employees'!$D:$H,2,FALSE)</f>
        <v xml:space="preserve">Utility/Maintenance Staff </v>
      </c>
      <c r="C19" s="2" t="str">
        <f>VLOOKUP($A19,'[1]List of Employees'!$D:$H,3,FALSE)</f>
        <v>Employed</v>
      </c>
      <c r="D19" s="3" t="str">
        <f>VLOOKUP($A19,'[1]List of Employees'!$D:$H,5,FALSE)</f>
        <v>Regular</v>
      </c>
      <c r="E19" s="3" t="str">
        <f>VLOOKUP($A19,'[1]List of Employees'!$D:$H,4,FALSE)</f>
        <v>Admin</v>
      </c>
    </row>
    <row r="20" spans="1:5" x14ac:dyDescent="0.25">
      <c r="A20" s="2" t="s">
        <v>20</v>
      </c>
      <c r="B20" s="2" t="str">
        <f>VLOOKUP($A20,'[1]List of Employees'!$D:$H,2,FALSE)</f>
        <v>Nursing Attendant - RM</v>
      </c>
      <c r="C20" s="2" t="str">
        <f>VLOOKUP($A20,'[1]List of Employees'!$D:$H,3,FALSE)</f>
        <v>Employed</v>
      </c>
      <c r="D20" s="3" t="str">
        <f>VLOOKUP($A20,'[1]List of Employees'!$D:$H,5,FALSE)</f>
        <v>Regular</v>
      </c>
      <c r="E20" s="3" t="str">
        <f>VLOOKUP($A20,'[1]List of Employees'!$D:$H,4,FALSE)</f>
        <v>Hemodialysis</v>
      </c>
    </row>
    <row r="21" spans="1:5" x14ac:dyDescent="0.25">
      <c r="A21" s="2" t="s">
        <v>21</v>
      </c>
      <c r="B21" s="2" t="str">
        <f>VLOOKUP($A21,'[1]List of Employees'!$D:$H,2,FALSE)</f>
        <v>HR Staff</v>
      </c>
      <c r="C21" s="2" t="str">
        <f>VLOOKUP($A21,'[1]List of Employees'!$D:$H,3,FALSE)</f>
        <v>Employed</v>
      </c>
      <c r="D21" s="3" t="str">
        <f>VLOOKUP($A21,'[1]List of Employees'!$D:$H,5,FALSE)</f>
        <v>Regular</v>
      </c>
      <c r="E21" s="3" t="str">
        <f>VLOOKUP($A21,'[1]List of Employees'!$D:$H,4,FALSE)</f>
        <v>Admin</v>
      </c>
    </row>
    <row r="22" spans="1:5" x14ac:dyDescent="0.25">
      <c r="A22" s="2" t="s">
        <v>22</v>
      </c>
      <c r="B22" s="2" t="str">
        <f>VLOOKUP($A22,'[1]List of Employees'!$D:$H,2,FALSE)</f>
        <v>HD Technician S2</v>
      </c>
      <c r="C22" s="2" t="str">
        <f>VLOOKUP($A22,'[1]List of Employees'!$D:$H,3,FALSE)</f>
        <v>Employed</v>
      </c>
      <c r="D22" s="3" t="str">
        <f>VLOOKUP($A22,'[1]List of Employees'!$D:$H,5,FALSE)</f>
        <v>Regular</v>
      </c>
      <c r="E22" s="3" t="str">
        <f>VLOOKUP($A22,'[1]List of Employees'!$D:$H,4,FALSE)</f>
        <v>Hemodialysis</v>
      </c>
    </row>
    <row r="23" spans="1:5" x14ac:dyDescent="0.25">
      <c r="A23" s="1" t="s">
        <v>23</v>
      </c>
      <c r="B23" s="2" t="str">
        <f>VLOOKUP($A23,'[1]List of Employees'!$D:$H,2,FALSE)</f>
        <v>Cook/ Kitchen Staff</v>
      </c>
      <c r="C23" s="1" t="s">
        <v>1</v>
      </c>
      <c r="D23" s="3" t="str">
        <f>VLOOKUP($A23,'[1]List of Employees'!$D:$H,5,FALSE)</f>
        <v>Probationary</v>
      </c>
      <c r="E23" s="3" t="str">
        <f>VLOOKUP($A23,'[1]List of Employees'!$D:$H,4,FALSE)</f>
        <v>Dietary</v>
      </c>
    </row>
    <row r="24" spans="1:5" x14ac:dyDescent="0.25">
      <c r="A24" s="2" t="s">
        <v>24</v>
      </c>
      <c r="B24" s="2" t="str">
        <f>VLOOKUP($A24,'[1]List of Employees'!$D:$H,2,FALSE)</f>
        <v>HD Technician S2</v>
      </c>
      <c r="C24" s="2" t="str">
        <f>VLOOKUP($A24,'[1]List of Employees'!$D:$H,3,FALSE)</f>
        <v>Employed</v>
      </c>
      <c r="D24" s="3" t="str">
        <f>VLOOKUP($A24,'[1]List of Employees'!$D:$H,5,FALSE)</f>
        <v>Regular</v>
      </c>
      <c r="E24" s="3" t="str">
        <f>VLOOKUP($A24,'[1]List of Employees'!$D:$H,4,FALSE)</f>
        <v>Hemodialysis</v>
      </c>
    </row>
    <row r="25" spans="1:5" x14ac:dyDescent="0.25">
      <c r="A25" s="2" t="s">
        <v>25</v>
      </c>
      <c r="B25" s="2" t="str">
        <f>VLOOKUP($A25,'[1]List of Employees'!$D:$H,2,FALSE)</f>
        <v>Accounting Clerk</v>
      </c>
      <c r="C25" s="2" t="str">
        <f>VLOOKUP($A25,'[1]List of Employees'!$D:$H,3,FALSE)</f>
        <v>Employed</v>
      </c>
      <c r="D25" s="3" t="str">
        <f>VLOOKUP($A25,'[1]List of Employees'!$D:$H,5,FALSE)</f>
        <v>Regular</v>
      </c>
      <c r="E25" s="3" t="str">
        <f>VLOOKUP($A25,'[1]List of Employees'!$D:$H,4,FALSE)</f>
        <v>Admin</v>
      </c>
    </row>
    <row r="26" spans="1:5" x14ac:dyDescent="0.25">
      <c r="A26" s="1" t="s">
        <v>26</v>
      </c>
      <c r="B26" s="2" t="str">
        <f>VLOOKUP($A26,'[1]List of Employees'!$D:$H,2,FALSE)</f>
        <v>Staff Nurse I</v>
      </c>
      <c r="C26" s="1" t="s">
        <v>1</v>
      </c>
      <c r="D26" s="3" t="str">
        <f>VLOOKUP($A26,'[1]List of Employees'!$D:$H,5,FALSE)</f>
        <v>Regular</v>
      </c>
      <c r="E26" s="3" t="str">
        <f>VLOOKUP($A26,'[1]List of Employees'!$D:$H,4,FALSE)</f>
        <v>Hemodialysis</v>
      </c>
    </row>
    <row r="27" spans="1:5" x14ac:dyDescent="0.25">
      <c r="A27" s="1" t="s">
        <v>27</v>
      </c>
      <c r="B27" s="2" t="str">
        <f>VLOOKUP($A27,'[1]List of Employees'!$D:$H,2,FALSE)</f>
        <v>Staff Nurse I</v>
      </c>
      <c r="C27" s="2" t="str">
        <f>VLOOKUP($A27,'[1]List of Employees'!$D:$H,3,FALSE)</f>
        <v>Employed</v>
      </c>
      <c r="D27" s="3" t="str">
        <f>VLOOKUP($A27,'[1]List of Employees'!$D:$H,5,FALSE)</f>
        <v>Regular</v>
      </c>
      <c r="E27" s="3" t="str">
        <f>VLOOKUP($A27,'[1]List of Employees'!$D:$H,4,FALSE)</f>
        <v>Hemodialysis</v>
      </c>
    </row>
    <row r="28" spans="1:5" x14ac:dyDescent="0.25">
      <c r="A28" s="2" t="s">
        <v>28</v>
      </c>
      <c r="B28" s="2" t="str">
        <f>VLOOKUP($A28,'[1]List of Employees'!$D:$H,2,FALSE)</f>
        <v>Claims Clerk</v>
      </c>
      <c r="C28" s="2" t="str">
        <f>VLOOKUP($A28,'[1]List of Employees'!$D:$H,3,FALSE)</f>
        <v>Employed</v>
      </c>
      <c r="D28" s="3" t="str">
        <f>VLOOKUP($A28,'[1]List of Employees'!$D:$H,5,FALSE)</f>
        <v>Regular</v>
      </c>
      <c r="E28" s="3" t="str">
        <f>VLOOKUP($A28,'[1]List of Employees'!$D:$H,4,FALSE)</f>
        <v>Admin - HD</v>
      </c>
    </row>
    <row r="29" spans="1:5" x14ac:dyDescent="0.25">
      <c r="A29" s="2" t="s">
        <v>29</v>
      </c>
      <c r="B29" s="2" t="str">
        <f>VLOOKUP($A29,'[1]List of Employees'!$D:$H,2,FALSE)</f>
        <v>Staff Nurse II</v>
      </c>
      <c r="C29" s="2" t="str">
        <f>VLOOKUP($A29,'[1]List of Employees'!$D:$H,3,FALSE)</f>
        <v>Employed</v>
      </c>
      <c r="D29" s="3" t="str">
        <f>VLOOKUP($A29,'[1]List of Employees'!$D:$H,5,FALSE)</f>
        <v>Regular</v>
      </c>
      <c r="E29" s="3" t="str">
        <f>VLOOKUP($A29,'[1]List of Employees'!$D:$H,4,FALSE)</f>
        <v>Hemodialysis</v>
      </c>
    </row>
    <row r="30" spans="1:5" x14ac:dyDescent="0.25">
      <c r="A30" s="2" t="s">
        <v>30</v>
      </c>
      <c r="B30" s="2" t="str">
        <f>VLOOKUP($A30,'[1]List of Employees'!$D:$H,2,FALSE)</f>
        <v>Staff Nurse I</v>
      </c>
      <c r="C30" s="2" t="str">
        <f>VLOOKUP($A30,'[1]List of Employees'!$D:$H,3,FALSE)</f>
        <v>Employed</v>
      </c>
      <c r="D30" s="3" t="str">
        <f>VLOOKUP($A30,'[1]List of Employees'!$D:$H,5,FALSE)</f>
        <v>Regular</v>
      </c>
      <c r="E30" s="3" t="str">
        <f>VLOOKUP($A30,'[1]List of Employees'!$D:$H,4,FALSE)</f>
        <v>Hemodialysis</v>
      </c>
    </row>
    <row r="31" spans="1:5" x14ac:dyDescent="0.25">
      <c r="A31" s="2" t="s">
        <v>31</v>
      </c>
      <c r="B31" s="2" t="str">
        <f>VLOOKUP($A31,'[1]List of Employees'!$D:$H,2,FALSE)</f>
        <v>Staff Nurse I</v>
      </c>
      <c r="C31" s="2" t="str">
        <f>VLOOKUP($A31,'[1]List of Employees'!$D:$H,3,FALSE)</f>
        <v>Employed</v>
      </c>
      <c r="D31" s="3" t="str">
        <f>VLOOKUP($A31,'[1]List of Employees'!$D:$H,5,FALSE)</f>
        <v>Regular</v>
      </c>
      <c r="E31" s="3" t="str">
        <f>VLOOKUP($A31,'[1]List of Employees'!$D:$H,4,FALSE)</f>
        <v>Hemodialysis</v>
      </c>
    </row>
    <row r="32" spans="1:5" x14ac:dyDescent="0.25">
      <c r="A32" s="1" t="s">
        <v>32</v>
      </c>
      <c r="B32" s="2" t="str">
        <f>VLOOKUP($A32,'[1]List of Employees'!$D:$H,2,FALSE)</f>
        <v>Accounting Clerk</v>
      </c>
      <c r="C32" s="2" t="str">
        <f>VLOOKUP($A32,'[1]List of Employees'!$D:$H,3,FALSE)</f>
        <v>Employed</v>
      </c>
      <c r="D32" s="3" t="str">
        <f>VLOOKUP($A32,'[1]List of Employees'!$D:$H,5,FALSE)</f>
        <v>Regular</v>
      </c>
      <c r="E32" s="3" t="str">
        <f>VLOOKUP($A32,'[1]List of Employees'!$D:$H,4,FALSE)</f>
        <v>Admin</v>
      </c>
    </row>
    <row r="33" spans="1:5" x14ac:dyDescent="0.25">
      <c r="A33" s="2" t="s">
        <v>33</v>
      </c>
      <c r="B33" s="2" t="str">
        <f>VLOOKUP($A33,'[1]List of Employees'!$D:$H,2,FALSE)</f>
        <v>Staff Nurse I</v>
      </c>
      <c r="C33" s="2" t="str">
        <f>VLOOKUP($A33,'[1]List of Employees'!$D:$H,3,FALSE)</f>
        <v>Employed</v>
      </c>
      <c r="D33" s="3" t="str">
        <f>VLOOKUP($A33,'[1]List of Employees'!$D:$H,5,FALSE)</f>
        <v>Regular</v>
      </c>
      <c r="E33" s="3" t="str">
        <f>VLOOKUP($A33,'[1]List of Employees'!$D:$H,4,FALSE)</f>
        <v>Hemodialysis</v>
      </c>
    </row>
    <row r="34" spans="1:5" x14ac:dyDescent="0.25">
      <c r="A34" s="2" t="s">
        <v>34</v>
      </c>
      <c r="B34" s="2" t="str">
        <f>VLOOKUP($A34,'[1]List of Employees'!$D:$H,2,FALSE)</f>
        <v>Institutional Worker-HD</v>
      </c>
      <c r="C34" s="2" t="str">
        <f>VLOOKUP($A34,'[1]List of Employees'!$D:$H,3,FALSE)</f>
        <v>Employed</v>
      </c>
      <c r="D34" s="3" t="str">
        <f>VLOOKUP($A34,'[1]List of Employees'!$D:$H,5,FALSE)</f>
        <v>Regular</v>
      </c>
      <c r="E34" s="3" t="str">
        <f>VLOOKUP($A34,'[1]List of Employees'!$D:$H,4,FALSE)</f>
        <v>Hemodialysis</v>
      </c>
    </row>
    <row r="35" spans="1:5" x14ac:dyDescent="0.25">
      <c r="A35" s="2" t="s">
        <v>35</v>
      </c>
      <c r="B35" s="2" t="str">
        <f>VLOOKUP($A35,'[1]List of Employees'!$D:$H,2,FALSE)</f>
        <v>Staff Nurse II</v>
      </c>
      <c r="C35" s="2" t="str">
        <f>VLOOKUP($A35,'[1]List of Employees'!$D:$H,3,FALSE)</f>
        <v>Employed</v>
      </c>
      <c r="D35" s="3" t="str">
        <f>VLOOKUP($A35,'[1]List of Employees'!$D:$H,5,FALSE)</f>
        <v>Regular</v>
      </c>
      <c r="E35" s="3" t="str">
        <f>VLOOKUP($A35,'[1]List of Employees'!$D:$H,4,FALSE)</f>
        <v>Hemodialysis</v>
      </c>
    </row>
    <row r="36" spans="1:5" x14ac:dyDescent="0.25">
      <c r="A36" s="1" t="s">
        <v>36</v>
      </c>
      <c r="B36" s="2" t="str">
        <f>VLOOKUP($A36,'[1]List of Employees'!$D:$H,2,FALSE)</f>
        <v>Claims Clerk</v>
      </c>
      <c r="C36" s="2" t="str">
        <f>VLOOKUP($A36,'[1]List of Employees'!$D:$H,3,FALSE)</f>
        <v>Employed</v>
      </c>
      <c r="D36" s="3" t="str">
        <f>VLOOKUP($A36,'[1]List of Employees'!$D:$H,5,FALSE)</f>
        <v>Probationary</v>
      </c>
      <c r="E36" s="3" t="str">
        <f>VLOOKUP($A36,'[1]List of Employees'!$D:$H,4,FALSE)</f>
        <v>Admin</v>
      </c>
    </row>
    <row r="37" spans="1:5" x14ac:dyDescent="0.25">
      <c r="A37" s="1" t="s">
        <v>37</v>
      </c>
      <c r="B37" s="2" t="str">
        <f>VLOOKUP($A37,'[1]List of Employees'!$D:$H,2,FALSE)</f>
        <v>Claims Clerk</v>
      </c>
      <c r="C37" s="2" t="str">
        <f>VLOOKUP($A37,'[1]List of Employees'!$D:$H,3,FALSE)</f>
        <v>Employed</v>
      </c>
      <c r="D37" s="3" t="str">
        <f>VLOOKUP($A37,'[1]List of Employees'!$D:$H,5,FALSE)</f>
        <v>Probationary</v>
      </c>
      <c r="E37" s="3" t="str">
        <f>VLOOKUP($A37,'[1]List of Employees'!$D:$H,4,FALSE)</f>
        <v>Admin</v>
      </c>
    </row>
    <row r="38" spans="1:5" x14ac:dyDescent="0.25">
      <c r="A38" s="2" t="s">
        <v>38</v>
      </c>
      <c r="B38" s="2" t="str">
        <f>VLOOKUP($A38,'[1]List of Employees'!$D:$H,2,FALSE)</f>
        <v>Accountant - CPA</v>
      </c>
      <c r="C38" s="2" t="str">
        <f>VLOOKUP($A38,'[1]List of Employees'!$D:$H,3,FALSE)</f>
        <v>Employed</v>
      </c>
      <c r="D38" s="3" t="str">
        <f>VLOOKUP($A38,'[1]List of Employees'!$D:$H,5,FALSE)</f>
        <v>Regular</v>
      </c>
      <c r="E38" s="3" t="str">
        <f>VLOOKUP($A38,'[1]List of Employees'!$D:$H,4,FALSE)</f>
        <v>Admin</v>
      </c>
    </row>
    <row r="39" spans="1:5" x14ac:dyDescent="0.25">
      <c r="A39" s="1" t="s">
        <v>39</v>
      </c>
      <c r="B39" s="2" t="str">
        <f>VLOOKUP($A39,'[1]List of Employees'!$D:$H,2,FALSE)</f>
        <v>HR Staff</v>
      </c>
      <c r="C39" s="2" t="str">
        <f>VLOOKUP($A39,'[1]List of Employees'!$D:$H,3,FALSE)</f>
        <v>Employed</v>
      </c>
      <c r="D39" s="3" t="str">
        <f>VLOOKUP($A39,'[1]List of Employees'!$D:$H,5,FALSE)</f>
        <v>Regular</v>
      </c>
      <c r="E39" s="3" t="str">
        <f>VLOOKUP($A39,'[1]List of Employees'!$D:$H,4,FALSE)</f>
        <v>Admin</v>
      </c>
    </row>
    <row r="40" spans="1:5" x14ac:dyDescent="0.25">
      <c r="A40" s="2" t="s">
        <v>40</v>
      </c>
      <c r="B40" s="2" t="str">
        <f>VLOOKUP($A40,'[1]List of Employees'!$D:$H,2,FALSE)</f>
        <v>IT Staff</v>
      </c>
      <c r="C40" s="2" t="str">
        <f>VLOOKUP($A40,'[1]List of Employees'!$D:$H,3,FALSE)</f>
        <v>Employed</v>
      </c>
      <c r="D40" s="3" t="str">
        <f>VLOOKUP($A40,'[1]List of Employees'!$D:$H,5,FALSE)</f>
        <v>Regular</v>
      </c>
      <c r="E40" s="3" t="str">
        <f>VLOOKUP($A40,'[1]List of Employees'!$D:$H,4,FALSE)</f>
        <v>Admin</v>
      </c>
    </row>
    <row r="41" spans="1:5" x14ac:dyDescent="0.25">
      <c r="A41" s="2" t="s">
        <v>41</v>
      </c>
      <c r="B41" s="2" t="str">
        <f>VLOOKUP($A41,'[1]List of Employees'!$D:$H,2,FALSE)</f>
        <v xml:space="preserve">Specialty Nurse-Dialysis </v>
      </c>
      <c r="C41" s="2" t="str">
        <f>VLOOKUP($A41,'[1]List of Employees'!$D:$H,3,FALSE)</f>
        <v>Employed</v>
      </c>
      <c r="D41" s="3" t="str">
        <f>VLOOKUP($A41,'[1]List of Employees'!$D:$H,5,FALSE)</f>
        <v>Regular</v>
      </c>
      <c r="E41" s="3" t="str">
        <f>VLOOKUP($A41,'[1]List of Employees'!$D:$H,4,FALSE)</f>
        <v>Hemodialysis</v>
      </c>
    </row>
    <row r="42" spans="1:5" x14ac:dyDescent="0.25">
      <c r="A42" s="1" t="s">
        <v>42</v>
      </c>
      <c r="B42" s="2" t="str">
        <f>VLOOKUP($A42,'[1]List of Employees'!$D:$H,2,FALSE)</f>
        <v>Cashier</v>
      </c>
      <c r="C42" s="2" t="str">
        <f>VLOOKUP($A42,'[1]List of Employees'!$D:$H,3,FALSE)</f>
        <v>Employed</v>
      </c>
      <c r="D42" s="3" t="str">
        <f>VLOOKUP($A42,'[1]List of Employees'!$D:$H,5,FALSE)</f>
        <v>Regular</v>
      </c>
      <c r="E42" s="3" t="str">
        <f>VLOOKUP($A42,'[1]List of Employees'!$D:$H,4,FALSE)</f>
        <v>Admin</v>
      </c>
    </row>
    <row r="43" spans="1:5" x14ac:dyDescent="0.25">
      <c r="A43" s="4" t="s">
        <v>43</v>
      </c>
      <c r="B43" s="2" t="str">
        <f>VLOOKUP($A43,'[1]List of Employees'!$D:$H,2,FALSE)</f>
        <v>Nursing Attendant - RM</v>
      </c>
      <c r="C43" s="2" t="str">
        <f>VLOOKUP($A43,'[1]List of Employees'!$D:$H,3,FALSE)</f>
        <v>Employed</v>
      </c>
      <c r="D43" s="3" t="str">
        <f>VLOOKUP($A43,'[1]List of Employees'!$D:$H,5,FALSE)</f>
        <v>Regular</v>
      </c>
      <c r="E43" s="3" t="str">
        <f>VLOOKUP($A43,'[1]List of Employees'!$D:$H,4,FALSE)</f>
        <v>Hemodialysis</v>
      </c>
    </row>
    <row r="44" spans="1:5" x14ac:dyDescent="0.25">
      <c r="A44" s="1" t="s">
        <v>44</v>
      </c>
      <c r="B44" s="2" t="str">
        <f>VLOOKUP($A44,'[1]List of Employees'!$D:$H,2,FALSE)</f>
        <v>Staff Nurse I</v>
      </c>
      <c r="C44" s="1" t="s">
        <v>1</v>
      </c>
      <c r="D44" s="3" t="str">
        <f>VLOOKUP($A44,'[1]List of Employees'!$D:$H,5,FALSE)</f>
        <v>Regular</v>
      </c>
      <c r="E44" s="3" t="str">
        <f>VLOOKUP($A44,'[1]List of Employees'!$D:$H,4,FALSE)</f>
        <v>Hemodialysis</v>
      </c>
    </row>
    <row r="45" spans="1:5" x14ac:dyDescent="0.25">
      <c r="A45" s="2" t="s">
        <v>45</v>
      </c>
      <c r="B45" s="2" t="str">
        <f>VLOOKUP($A45,'[1]List of Employees'!$D:$H,2,FALSE)</f>
        <v>HD Technician</v>
      </c>
      <c r="C45" s="2" t="str">
        <f>VLOOKUP($A45,'[1]List of Employees'!$D:$H,3,FALSE)</f>
        <v>Employed</v>
      </c>
      <c r="D45" s="3" t="str">
        <f>VLOOKUP($A45,'[1]List of Employees'!$D:$H,5,FALSE)</f>
        <v>Regular</v>
      </c>
      <c r="E45" s="3" t="str">
        <f>VLOOKUP($A45,'[1]List of Employees'!$D:$H,4,FALSE)</f>
        <v>Hemodialysis</v>
      </c>
    </row>
    <row r="46" spans="1:5" x14ac:dyDescent="0.25">
      <c r="A46" s="1" t="s">
        <v>46</v>
      </c>
      <c r="B46" s="2" t="str">
        <f>VLOOKUP($A46,'[1]List of Employees'!$D:$H,2,FALSE)</f>
        <v>Staff Nurse I</v>
      </c>
      <c r="C46" s="1" t="s">
        <v>1</v>
      </c>
      <c r="D46" s="3" t="str">
        <f>VLOOKUP($A46,'[1]List of Employees'!$D:$H,5,FALSE)</f>
        <v>Probationary</v>
      </c>
      <c r="E46" s="3" t="str">
        <f>VLOOKUP($A46,'[1]List of Employees'!$D:$H,4,FALSE)</f>
        <v>Hemodialysis</v>
      </c>
    </row>
    <row r="47" spans="1:5" x14ac:dyDescent="0.25">
      <c r="A47" s="2" t="s">
        <v>47</v>
      </c>
      <c r="B47" s="2" t="str">
        <f>VLOOKUP($A47,'[1]List of Employees'!$D:$H,2,FALSE)</f>
        <v>Cook/ Kitchen Staff</v>
      </c>
      <c r="C47" s="2" t="str">
        <f>VLOOKUP($A47,'[1]List of Employees'!$D:$H,3,FALSE)</f>
        <v>Employed</v>
      </c>
      <c r="D47" s="3" t="str">
        <f>VLOOKUP($A47,'[1]List of Employees'!$D:$H,5,FALSE)</f>
        <v>Regular</v>
      </c>
      <c r="E47" s="3" t="str">
        <f>VLOOKUP($A47,'[1]List of Employees'!$D:$H,4,FALSE)</f>
        <v>Dietary</v>
      </c>
    </row>
    <row r="48" spans="1:5" x14ac:dyDescent="0.25">
      <c r="A48" s="1" t="s">
        <v>48</v>
      </c>
      <c r="B48" s="2" t="str">
        <f>VLOOKUP($A48,'[1]List of Employees'!$D:$H,2,FALSE)</f>
        <v>Internal Audit Staff</v>
      </c>
      <c r="C48" s="1" t="s">
        <v>1</v>
      </c>
      <c r="D48" s="3" t="str">
        <f>VLOOKUP($A48,'[1]List of Employees'!$D:$H,5,FALSE)</f>
        <v>Probationary</v>
      </c>
      <c r="E48" s="3" t="str">
        <f>VLOOKUP($A48,'[1]List of Employees'!$D:$H,4,FALSE)</f>
        <v>Admin</v>
      </c>
    </row>
    <row r="49" spans="1:5" x14ac:dyDescent="0.25">
      <c r="A49" s="3" t="s">
        <v>49</v>
      </c>
      <c r="B49" s="3" t="str">
        <f>VLOOKUP($A49,'[1]List of Employees'!$D:$H,2,FALSE)</f>
        <v>Head Nurse - HD S2</v>
      </c>
      <c r="C49" s="3" t="str">
        <f>VLOOKUP($A49,'[1]List of Employees'!$D:$H,3,FALSE)</f>
        <v>Employed</v>
      </c>
      <c r="D49" s="3" t="str">
        <f>VLOOKUP($A49,'[1]List of Employees'!$D:$H,5,FALSE)</f>
        <v>Regular</v>
      </c>
      <c r="E49" s="3" t="str">
        <f>VLOOKUP($A49,'[1]List of Employees'!$D:$H,4,FALSE)</f>
        <v>Hemodialysis</v>
      </c>
    </row>
    <row r="50" spans="1:5" x14ac:dyDescent="0.25">
      <c r="A50" s="2" t="s">
        <v>50</v>
      </c>
      <c r="B50" s="2" t="str">
        <f>VLOOKUP($A50,'[1]List of Employees'!$D:$H,2,FALSE)</f>
        <v>Staff Nurse II</v>
      </c>
      <c r="C50" s="2" t="str">
        <f>VLOOKUP($A50,'[1]List of Employees'!$D:$H,3,FALSE)</f>
        <v>Employed</v>
      </c>
      <c r="D50" s="3" t="str">
        <f>VLOOKUP($A50,'[1]List of Employees'!$D:$H,5,FALSE)</f>
        <v>Regular</v>
      </c>
      <c r="E50" s="3" t="str">
        <f>VLOOKUP($A50,'[1]List of Employees'!$D:$H,4,FALSE)</f>
        <v>Hemodialysis</v>
      </c>
    </row>
    <row r="51" spans="1:5" x14ac:dyDescent="0.25">
      <c r="A51" s="2" t="s">
        <v>51</v>
      </c>
      <c r="B51" s="2" t="str">
        <f>VLOOKUP($A51,'[1]List of Employees'!$D:$H,2,FALSE)</f>
        <v>Claims Clerk</v>
      </c>
      <c r="C51" s="2" t="str">
        <f>VLOOKUP($A51,'[1]List of Employees'!$D:$H,3,FALSE)</f>
        <v>Employed</v>
      </c>
      <c r="D51" s="3" t="str">
        <f>VLOOKUP($A51,'[1]List of Employees'!$D:$H,5,FALSE)</f>
        <v>Regular</v>
      </c>
      <c r="E51" s="3" t="str">
        <f>VLOOKUP($A51,'[1]List of Employees'!$D:$H,4,FALSE)</f>
        <v>Admin</v>
      </c>
    </row>
    <row r="52" spans="1:5" x14ac:dyDescent="0.25">
      <c r="A52" s="2" t="s">
        <v>52</v>
      </c>
      <c r="B52" s="2" t="str">
        <f>VLOOKUP($A52,'[1]List of Employees'!$D:$H,2,FALSE)</f>
        <v>Institutional Worker-HD</v>
      </c>
      <c r="C52" s="2" t="str">
        <f>VLOOKUP($A52,'[1]List of Employees'!$D:$H,3,FALSE)</f>
        <v>Employed</v>
      </c>
      <c r="D52" s="3" t="str">
        <f>VLOOKUP($A52,'[1]List of Employees'!$D:$H,5,FALSE)</f>
        <v>Regular</v>
      </c>
      <c r="E52" s="3" t="str">
        <f>VLOOKUP($A52,'[1]List of Employees'!$D:$H,4,FALSE)</f>
        <v>Hemodialysis</v>
      </c>
    </row>
    <row r="53" spans="1:5" x14ac:dyDescent="0.25">
      <c r="A53" s="1" t="s">
        <v>53</v>
      </c>
      <c r="B53" s="2" t="str">
        <f>VLOOKUP($A53,'[1]List of Employees'!$D:$H,2,FALSE)</f>
        <v>Janitorial Staff</v>
      </c>
      <c r="C53" s="2" t="str">
        <f>VLOOKUP($A53,'[1]List of Employees'!$D:$H,3,FALSE)</f>
        <v>Employed</v>
      </c>
      <c r="D53" s="3" t="str">
        <f>VLOOKUP($A53,'[1]List of Employees'!$D:$H,5,FALSE)</f>
        <v>Regular</v>
      </c>
      <c r="E53" s="3" t="str">
        <f>VLOOKUP($A53,'[1]List of Employees'!$D:$H,4,FALSE)</f>
        <v>Admin</v>
      </c>
    </row>
    <row r="54" spans="1:5" x14ac:dyDescent="0.25">
      <c r="A54" s="2" t="s">
        <v>54</v>
      </c>
      <c r="B54" s="2" t="str">
        <f>VLOOKUP($A54,'[1]List of Employees'!$D:$H,2,FALSE)</f>
        <v>Staff Nurse I</v>
      </c>
      <c r="C54" s="2" t="str">
        <f>VLOOKUP($A54,'[1]List of Employees'!$D:$H,3,FALSE)</f>
        <v>Employed</v>
      </c>
      <c r="D54" s="3" t="str">
        <f>VLOOKUP($A54,'[1]List of Employees'!$D:$H,5,FALSE)</f>
        <v>Regular</v>
      </c>
      <c r="E54" s="3" t="str">
        <f>VLOOKUP($A54,'[1]List of Employees'!$D:$H,4,FALSE)</f>
        <v>Hemodialysis</v>
      </c>
    </row>
    <row r="55" spans="1:5" x14ac:dyDescent="0.25">
      <c r="A55" s="2" t="s">
        <v>55</v>
      </c>
      <c r="B55" s="2" t="str">
        <f>VLOOKUP($A55,'[1]List of Employees'!$D:$H,2,FALSE)</f>
        <v>Staff Nurse I</v>
      </c>
      <c r="C55" s="2" t="str">
        <f>VLOOKUP($A55,'[1]List of Employees'!$D:$H,3,FALSE)</f>
        <v>Employed</v>
      </c>
      <c r="D55" s="3" t="str">
        <f>VLOOKUP($A55,'[1]List of Employees'!$D:$H,5,FALSE)</f>
        <v>Regular</v>
      </c>
      <c r="E55" s="3" t="str">
        <f>VLOOKUP($A55,'[1]List of Employees'!$D:$H,4,FALSE)</f>
        <v>Hemodialysis</v>
      </c>
    </row>
    <row r="56" spans="1:5" x14ac:dyDescent="0.25">
      <c r="A56" s="2" t="s">
        <v>56</v>
      </c>
      <c r="B56" s="2" t="str">
        <f>VLOOKUP($A56,'[1]List of Employees'!$D:$H,2,FALSE)</f>
        <v>Nursing Attendant - RM</v>
      </c>
      <c r="C56" s="2" t="str">
        <f>VLOOKUP($A56,'[1]List of Employees'!$D:$H,3,FALSE)</f>
        <v>Employed</v>
      </c>
      <c r="D56" s="3" t="str">
        <f>VLOOKUP($A56,'[1]List of Employees'!$D:$H,5,FALSE)</f>
        <v>Regular</v>
      </c>
      <c r="E56" s="3" t="str">
        <f>VLOOKUP($A56,'[1]List of Employees'!$D:$H,4,FALSE)</f>
        <v>Hemodialysis</v>
      </c>
    </row>
    <row r="57" spans="1:5" x14ac:dyDescent="0.25">
      <c r="A57" s="2" t="s">
        <v>57</v>
      </c>
      <c r="B57" s="2" t="str">
        <f>VLOOKUP($A57,'[1]List of Employees'!$D:$H,2,FALSE)</f>
        <v>Institutional Worker</v>
      </c>
      <c r="C57" s="2" t="str">
        <f>VLOOKUP($A57,'[1]List of Employees'!$D:$H,3,FALSE)</f>
        <v>Employed</v>
      </c>
      <c r="D57" s="3" t="str">
        <f>VLOOKUP($A57,'[1]List of Employees'!$D:$H,5,FALSE)</f>
        <v>Regular</v>
      </c>
      <c r="E57" s="3" t="str">
        <f>VLOOKUP($A57,'[1]List of Employees'!$D:$H,4,FALSE)</f>
        <v>Hemodialysis</v>
      </c>
    </row>
    <row r="58" spans="1:5" x14ac:dyDescent="0.25">
      <c r="A58" s="2" t="s">
        <v>58</v>
      </c>
      <c r="B58" s="2" t="str">
        <f>VLOOKUP($A58,'[1]List of Employees'!$D:$H,2,FALSE)</f>
        <v>HD Technician Head</v>
      </c>
      <c r="C58" s="2" t="str">
        <f>VLOOKUP($A58,'[1]List of Employees'!$D:$H,3,FALSE)</f>
        <v>Employed</v>
      </c>
      <c r="D58" s="3" t="str">
        <f>VLOOKUP($A58,'[1]List of Employees'!$D:$H,5,FALSE)</f>
        <v>Regular</v>
      </c>
      <c r="E58" s="3" t="str">
        <f>VLOOKUP($A58,'[1]List of Employees'!$D:$H,4,FALSE)</f>
        <v>Hemodialysis</v>
      </c>
    </row>
    <row r="59" spans="1:5" x14ac:dyDescent="0.25">
      <c r="A59" s="2" t="s">
        <v>59</v>
      </c>
      <c r="B59" s="2" t="str">
        <f>VLOOKUP($A59,'[1]List of Employees'!$D:$H,2,FALSE)</f>
        <v>HD Technician.</v>
      </c>
      <c r="C59" s="2" t="str">
        <f>VLOOKUP($A59,'[1]List of Employees'!$D:$H,3,FALSE)</f>
        <v>Employed</v>
      </c>
      <c r="D59" s="3" t="str">
        <f>VLOOKUP($A59,'[1]List of Employees'!$D:$H,5,FALSE)</f>
        <v>Regular</v>
      </c>
      <c r="E59" s="3" t="str">
        <f>VLOOKUP($A59,'[1]List of Employees'!$D:$H,4,FALSE)</f>
        <v>Hemodialysis</v>
      </c>
    </row>
    <row r="60" spans="1:5" x14ac:dyDescent="0.25">
      <c r="A60" s="2" t="s">
        <v>60</v>
      </c>
      <c r="B60" s="2" t="str">
        <f>VLOOKUP($A60,'[1]List of Employees'!$D:$H,2,FALSE)</f>
        <v>HD Technician</v>
      </c>
      <c r="C60" s="2" t="str">
        <f>VLOOKUP($A60,'[1]List of Employees'!$D:$H,3,FALSE)</f>
        <v>Employed</v>
      </c>
      <c r="D60" s="3" t="str">
        <f>VLOOKUP($A60,'[1]List of Employees'!$D:$H,5,FALSE)</f>
        <v>Regular</v>
      </c>
      <c r="E60" s="3" t="str">
        <f>VLOOKUP($A60,'[1]List of Employees'!$D:$H,4,FALSE)</f>
        <v>Hemodialysis</v>
      </c>
    </row>
    <row r="61" spans="1:5" x14ac:dyDescent="0.25">
      <c r="A61" s="2" t="s">
        <v>61</v>
      </c>
      <c r="B61" s="2" t="str">
        <f>VLOOKUP($A61,'[1]List of Employees'!$D:$H,2,FALSE)</f>
        <v>Nurse Supervisor</v>
      </c>
      <c r="C61" s="2" t="str">
        <f>VLOOKUP($A61,'[1]List of Employees'!$D:$H,3,FALSE)</f>
        <v>Employed</v>
      </c>
      <c r="D61" s="3" t="str">
        <f>VLOOKUP($A61,'[1]List of Employees'!$D:$H,5,FALSE)</f>
        <v>Regular</v>
      </c>
      <c r="E61" s="3" t="str">
        <f>VLOOKUP($A61,'[1]List of Employees'!$D:$H,4,FALSE)</f>
        <v>Hemodialysis</v>
      </c>
    </row>
    <row r="62" spans="1:5" x14ac:dyDescent="0.25">
      <c r="A62" s="2" t="s">
        <v>62</v>
      </c>
      <c r="B62" s="2" t="str">
        <f>VLOOKUP($A62,'[1]List of Employees'!$D:$H,2,FALSE)</f>
        <v>Hemodialysis Clerk S2</v>
      </c>
      <c r="C62" s="2" t="str">
        <f>VLOOKUP($A62,'[1]List of Employees'!$D:$H,3,FALSE)</f>
        <v>Employed</v>
      </c>
      <c r="D62" s="3" t="str">
        <f>VLOOKUP($A62,'[1]List of Employees'!$D:$H,5,FALSE)</f>
        <v>Regular</v>
      </c>
      <c r="E62" s="3" t="str">
        <f>VLOOKUP($A62,'[1]List of Employees'!$D:$H,4,FALSE)</f>
        <v>Admin - HD</v>
      </c>
    </row>
    <row r="63" spans="1:5" x14ac:dyDescent="0.25">
      <c r="A63" s="2" t="s">
        <v>63</v>
      </c>
      <c r="B63" s="2" t="str">
        <f>VLOOKUP($A63,'[1]List of Employees'!$D:$H,2,FALSE)</f>
        <v>Marketing Associate</v>
      </c>
      <c r="C63" s="2" t="str">
        <f>VLOOKUP($A63,'[1]List of Employees'!$D:$H,3,FALSE)</f>
        <v>Employed</v>
      </c>
      <c r="D63" s="3" t="str">
        <f>VLOOKUP($A63,'[1]List of Employees'!$D:$H,5,FALSE)</f>
        <v>Regular</v>
      </c>
      <c r="E63" s="3" t="str">
        <f>VLOOKUP($A63,'[1]List of Employees'!$D:$H,4,FALSE)</f>
        <v>Admin</v>
      </c>
    </row>
    <row r="64" spans="1:5" x14ac:dyDescent="0.25">
      <c r="A64" s="2" t="s">
        <v>64</v>
      </c>
      <c r="B64" s="2" t="str">
        <f>VLOOKUP($A64,'[1]List of Employees'!$D:$H,2,FALSE)</f>
        <v>Staff Nurse I</v>
      </c>
      <c r="C64" s="2" t="str">
        <f>VLOOKUP($A64,'[1]List of Employees'!$D:$H,3,FALSE)</f>
        <v>Employed</v>
      </c>
      <c r="D64" s="3" t="str">
        <f>VLOOKUP($A64,'[1]List of Employees'!$D:$H,5,FALSE)</f>
        <v>Regular</v>
      </c>
      <c r="E64" s="3" t="str">
        <f>VLOOKUP($A64,'[1]List of Employees'!$D:$H,4,FALSE)</f>
        <v>Hemodialysis</v>
      </c>
    </row>
    <row r="65" spans="1:5" x14ac:dyDescent="0.25">
      <c r="A65" s="1" t="s">
        <v>65</v>
      </c>
      <c r="B65" s="2" t="str">
        <f>VLOOKUP($A65,'[1]List of Employees'!$D:$H,2,FALSE)</f>
        <v>Janitorial Staff</v>
      </c>
      <c r="C65" s="1" t="s">
        <v>1</v>
      </c>
      <c r="D65" s="3" t="str">
        <f>VLOOKUP($A65,'[1]List of Employees'!$D:$H,5,FALSE)</f>
        <v>Regular</v>
      </c>
      <c r="E65" s="3" t="str">
        <f>VLOOKUP($A65,'[1]List of Employees'!$D:$H,4,FALSE)</f>
        <v>Admin</v>
      </c>
    </row>
    <row r="66" spans="1:5" x14ac:dyDescent="0.25">
      <c r="A66" s="2" t="s">
        <v>66</v>
      </c>
      <c r="B66" s="2" t="str">
        <f>VLOOKUP($A66,'[1]List of Employees'!$D:$H,2,FALSE)</f>
        <v>Accounting Clerk</v>
      </c>
      <c r="C66" s="1" t="s">
        <v>1</v>
      </c>
      <c r="D66" s="3" t="str">
        <f>VLOOKUP($A66,'[1]List of Employees'!$D:$H,5,FALSE)</f>
        <v>Regular</v>
      </c>
      <c r="E66" s="3" t="str">
        <f>VLOOKUP($A66,'[1]List of Employees'!$D:$H,4,FALSE)</f>
        <v>Admin</v>
      </c>
    </row>
    <row r="67" spans="1:5" x14ac:dyDescent="0.25">
      <c r="A67" s="1" t="s">
        <v>67</v>
      </c>
      <c r="B67" s="2" t="str">
        <f>VLOOKUP($A67,'[1]List of Employees'!$D:$H,2,FALSE)</f>
        <v>Accounting Clerk</v>
      </c>
      <c r="C67" s="1" t="s">
        <v>1</v>
      </c>
      <c r="D67" s="3" t="str">
        <f>VLOOKUP($A67,'[1]List of Employees'!$D:$H,5,FALSE)</f>
        <v>Regular</v>
      </c>
      <c r="E67" s="3" t="str">
        <f>VLOOKUP($A67,'[1]List of Employees'!$D:$H,4,FALSE)</f>
        <v>Admin</v>
      </c>
    </row>
    <row r="68" spans="1:5" x14ac:dyDescent="0.25">
      <c r="A68" s="1" t="s">
        <v>68</v>
      </c>
      <c r="B68" s="5" t="str">
        <f>VLOOKUP($A68,'[1]List of Employees'!$D:$H,2,FALSE)</f>
        <v>IT Staff</v>
      </c>
      <c r="C68" s="1" t="s">
        <v>1</v>
      </c>
      <c r="D68" s="3" t="str">
        <f>VLOOKUP($A68,'[1]List of Employees'!$D:$H,5,FALSE)</f>
        <v>Probationary</v>
      </c>
      <c r="E68" s="3" t="str">
        <f>VLOOKUP($A68,'[1]List of Employees'!$D:$H,4,FALSE)</f>
        <v>Admin</v>
      </c>
    </row>
    <row r="69" spans="1:5" x14ac:dyDescent="0.25">
      <c r="A69" s="1" t="s">
        <v>69</v>
      </c>
      <c r="B69" s="5" t="str">
        <f>VLOOKUP($A69,'[1]List of Employees'!$D:$H,2,FALSE)</f>
        <v>Claims Clerk</v>
      </c>
      <c r="C69" s="1" t="s">
        <v>1</v>
      </c>
      <c r="D69" s="3" t="str">
        <f>VLOOKUP($A69,'[1]List of Employees'!$D:$H,5,FALSE)</f>
        <v>Probationary</v>
      </c>
      <c r="E69" s="3" t="str">
        <f>VLOOKUP($A69,'[1]List of Employees'!$D:$H,4,FALSE)</f>
        <v>Admin</v>
      </c>
    </row>
    <row r="70" spans="1:5" x14ac:dyDescent="0.25">
      <c r="A70" s="1" t="s">
        <v>70</v>
      </c>
      <c r="B70" s="2" t="str">
        <f>VLOOKUP($A70,'[1]List of Employees'!$D:$H,2,FALSE)</f>
        <v>Internal Audit Staff</v>
      </c>
      <c r="C70" s="1" t="s">
        <v>1</v>
      </c>
      <c r="D70" s="3" t="str">
        <f>VLOOKUP($A70,'[1]List of Employees'!$D:$H,5,FALSE)</f>
        <v>Regular</v>
      </c>
      <c r="E70" s="3" t="str">
        <f>VLOOKUP($A70,'[1]List of Employees'!$D:$H,4,FALSE)</f>
        <v>Admin</v>
      </c>
    </row>
    <row r="71" spans="1:5" x14ac:dyDescent="0.25">
      <c r="A71" s="1" t="s">
        <v>71</v>
      </c>
      <c r="B71" s="2" t="str">
        <f>VLOOKUP($A71,'[1]List of Employees'!$D:$H,2,FALSE)</f>
        <v>Institutional Worker</v>
      </c>
      <c r="C71" s="2" t="str">
        <f>VLOOKUP($A71,'[1]List of Employees'!$D:$H,3,FALSE)</f>
        <v>Employed</v>
      </c>
      <c r="D71" s="3" t="str">
        <f>VLOOKUP($A71,'[1]List of Employees'!$D:$H,5,FALSE)</f>
        <v>Regular</v>
      </c>
      <c r="E71" s="3" t="str">
        <f>VLOOKUP($A71,'[1]List of Employees'!$D:$H,4,FALSE)</f>
        <v>Hemodialysis</v>
      </c>
    </row>
    <row r="72" spans="1:5" x14ac:dyDescent="0.25">
      <c r="A72" s="1" t="s">
        <v>72</v>
      </c>
      <c r="B72" s="2" t="str">
        <f>VLOOKUP($A72,'[1]List of Employees'!$D:$H,2,FALSE)</f>
        <v>Nutritionist-Dietitian</v>
      </c>
      <c r="C72" s="1" t="s">
        <v>1</v>
      </c>
      <c r="D72" s="3" t="str">
        <f>VLOOKUP($A72,'[1]List of Employees'!$D:$H,5,FALSE)</f>
        <v>Regular</v>
      </c>
      <c r="E72" s="3" t="str">
        <f>VLOOKUP($A72,'[1]List of Employees'!$D:$H,4,FALSE)</f>
        <v>Dietary</v>
      </c>
    </row>
    <row r="73" spans="1:5" x14ac:dyDescent="0.25">
      <c r="A73" s="3" t="s">
        <v>73</v>
      </c>
      <c r="B73" s="3" t="str">
        <f>VLOOKUP($A73,'[1]List of Employees'!$D:$H,2,FALSE)</f>
        <v>Pharmacy Aide S2</v>
      </c>
      <c r="C73" s="3" t="str">
        <f>VLOOKUP($A73,'[1]List of Employees'!$D:$H,3,FALSE)</f>
        <v>Employed</v>
      </c>
      <c r="D73" s="3" t="str">
        <f>VLOOKUP($A73,'[1]List of Employees'!$D:$H,5,FALSE)</f>
        <v>Regular</v>
      </c>
      <c r="E73" s="3" t="str">
        <f>VLOOKUP($A73,'[1]List of Employees'!$D:$H,4,FALSE)</f>
        <v>Pharmacy</v>
      </c>
    </row>
    <row r="74" spans="1:5" x14ac:dyDescent="0.25">
      <c r="A74" s="2" t="s">
        <v>74</v>
      </c>
      <c r="B74" s="2" t="str">
        <f>VLOOKUP($A74,'[1]List of Employees'!$D:$H,2,FALSE)</f>
        <v>Claims Officer</v>
      </c>
      <c r="C74" s="2" t="str">
        <f>VLOOKUP($A74,'[1]List of Employees'!$D:$H,3,FALSE)</f>
        <v>Employed</v>
      </c>
      <c r="D74" s="3" t="str">
        <f>VLOOKUP($A74,'[1]List of Employees'!$D:$H,5,FALSE)</f>
        <v>Regular</v>
      </c>
      <c r="E74" s="3" t="str">
        <f>VLOOKUP($A74,'[1]List of Employees'!$D:$H,4,FALSE)</f>
        <v>Admin</v>
      </c>
    </row>
    <row r="75" spans="1:5" x14ac:dyDescent="0.25">
      <c r="A75" s="2" t="s">
        <v>75</v>
      </c>
      <c r="B75" s="2" t="str">
        <f>VLOOKUP($A75,'[1]List of Employees'!$D:$H,2,FALSE)</f>
        <v>Specialty Nurse-ICU</v>
      </c>
      <c r="C75" s="2" t="str">
        <f>VLOOKUP($A75,'[1]List of Employees'!$D:$H,3,FALSE)</f>
        <v>Employed</v>
      </c>
      <c r="D75" s="3" t="str">
        <f>VLOOKUP($A75,'[1]List of Employees'!$D:$H,5,FALSE)</f>
        <v>Regular</v>
      </c>
      <c r="E75" s="3" t="str">
        <f>VLOOKUP($A75,'[1]List of Employees'!$D:$H,4,FALSE)</f>
        <v>ICU and Recovery</v>
      </c>
    </row>
    <row r="76" spans="1:5" x14ac:dyDescent="0.25">
      <c r="A76" s="2" t="s">
        <v>76</v>
      </c>
      <c r="B76" s="2" t="str">
        <f>VLOOKUP($A76,'[1]List of Employees'!$D:$H,2,FALSE)</f>
        <v>Claims Clerk S2</v>
      </c>
      <c r="C76" s="2" t="str">
        <f>VLOOKUP($A76,'[1]List of Employees'!$D:$H,3,FALSE)</f>
        <v>Employed</v>
      </c>
      <c r="D76" s="3" t="str">
        <f>VLOOKUP($A76,'[1]List of Employees'!$D:$H,5,FALSE)</f>
        <v>Regular</v>
      </c>
      <c r="E76" s="3" t="str">
        <f>VLOOKUP($A76,'[1]List of Employees'!$D:$H,4,FALSE)</f>
        <v>Admin</v>
      </c>
    </row>
    <row r="77" spans="1:5" x14ac:dyDescent="0.25">
      <c r="A77" s="2" t="s">
        <v>77</v>
      </c>
      <c r="B77" s="2" t="str">
        <f>VLOOKUP($A77,'[1]List of Employees'!$D:$H,2,FALSE)</f>
        <v>Claims Clerk</v>
      </c>
      <c r="C77" s="2" t="str">
        <f>VLOOKUP($A77,'[1]List of Employees'!$D:$H,3,FALSE)</f>
        <v>Employed</v>
      </c>
      <c r="D77" s="3" t="str">
        <f>VLOOKUP($A77,'[1]List of Employees'!$D:$H,5,FALSE)</f>
        <v>Regular</v>
      </c>
      <c r="E77" s="3" t="str">
        <f>VLOOKUP($A77,'[1]List of Employees'!$D:$H,4,FALSE)</f>
        <v>Admin</v>
      </c>
    </row>
    <row r="78" spans="1:5" x14ac:dyDescent="0.25">
      <c r="A78" s="2" t="s">
        <v>78</v>
      </c>
      <c r="B78" s="2" t="str">
        <f>VLOOKUP($A78,'[1]List of Employees'!$D:$H,2,FALSE)</f>
        <v>Admitting Clerk S2</v>
      </c>
      <c r="C78" s="2" t="str">
        <f>VLOOKUP($A78,'[1]List of Employees'!$D:$H,3,FALSE)</f>
        <v>Employed</v>
      </c>
      <c r="D78" s="3" t="str">
        <f>VLOOKUP($A78,'[1]List of Employees'!$D:$H,5,FALSE)</f>
        <v>Regular</v>
      </c>
      <c r="E78" s="3" t="str">
        <f>VLOOKUP($A78,'[1]List of Employees'!$D:$H,4,FALSE)</f>
        <v>Nursing</v>
      </c>
    </row>
    <row r="79" spans="1:5" x14ac:dyDescent="0.25">
      <c r="A79" s="2" t="s">
        <v>79</v>
      </c>
      <c r="B79" s="2" t="str">
        <f>VLOOKUP($A79,'[1]List of Employees'!$D:$H,2,FALSE)</f>
        <v>Medical Records Officer</v>
      </c>
      <c r="C79" s="2" t="str">
        <f>VLOOKUP($A79,'[1]List of Employees'!$D:$H,3,FALSE)</f>
        <v>Employed</v>
      </c>
      <c r="D79" s="3" t="str">
        <f>VLOOKUP($A79,'[1]List of Employees'!$D:$H,5,FALSE)</f>
        <v>Regular</v>
      </c>
      <c r="E79" s="3" t="str">
        <f>VLOOKUP($A79,'[1]List of Employees'!$D:$H,4,FALSE)</f>
        <v>Admin</v>
      </c>
    </row>
    <row r="80" spans="1:5" x14ac:dyDescent="0.25">
      <c r="A80" s="2" t="s">
        <v>80</v>
      </c>
      <c r="B80" s="2" t="str">
        <f>VLOOKUP($A80,'[1]List of Employees'!$D:$H,2,FALSE)</f>
        <v>Cashier S2</v>
      </c>
      <c r="C80" s="2" t="str">
        <f>VLOOKUP($A80,'[1]List of Employees'!$D:$H,3,FALSE)</f>
        <v>Employed</v>
      </c>
      <c r="D80" s="3" t="str">
        <f>VLOOKUP($A80,'[1]List of Employees'!$D:$H,5,FALSE)</f>
        <v>Regular</v>
      </c>
      <c r="E80" s="3" t="str">
        <f>VLOOKUP($A80,'[1]List of Employees'!$D:$H,4,FALSE)</f>
        <v>Admin</v>
      </c>
    </row>
    <row r="81" spans="1:5" x14ac:dyDescent="0.25">
      <c r="A81" s="2" t="s">
        <v>81</v>
      </c>
      <c r="B81" s="2" t="str">
        <f>VLOOKUP($A81,'[1]List of Employees'!$D:$H,2,FALSE)</f>
        <v>Nursing Attendant BSM - RM S2</v>
      </c>
      <c r="C81" s="2" t="str">
        <f>VLOOKUP($A81,'[1]List of Employees'!$D:$H,3,FALSE)</f>
        <v>Employed</v>
      </c>
      <c r="D81" s="3" t="str">
        <f>VLOOKUP($A81,'[1]List of Employees'!$D:$H,5,FALSE)</f>
        <v>Regular</v>
      </c>
      <c r="E81" s="3" t="str">
        <f>VLOOKUP($A81,'[1]List of Employees'!$D:$H,4,FALSE)</f>
        <v>Nursing</v>
      </c>
    </row>
    <row r="82" spans="1:5" x14ac:dyDescent="0.25">
      <c r="A82" s="1" t="s">
        <v>82</v>
      </c>
      <c r="B82" s="2" t="str">
        <f>VLOOKUP($A82,'[1]List of Employees'!$D:$H,2,FALSE)</f>
        <v>Staff Nurse I</v>
      </c>
      <c r="C82" s="2" t="str">
        <f>VLOOKUP($A82,'[1]List of Employees'!$D:$H,3,FALSE)</f>
        <v>Employed</v>
      </c>
      <c r="D82" s="3" t="str">
        <f>VLOOKUP($A82,'[1]List of Employees'!$D:$H,5,FALSE)</f>
        <v>Regular</v>
      </c>
      <c r="E82" s="3" t="str">
        <f>VLOOKUP($A82,'[1]List of Employees'!$D:$H,4,FALSE)</f>
        <v>Nursing</v>
      </c>
    </row>
    <row r="83" spans="1:5" x14ac:dyDescent="0.25">
      <c r="A83" s="2" t="s">
        <v>83</v>
      </c>
      <c r="B83" s="2" t="str">
        <f>VLOOKUP($A83,'[1]List of Employees'!$D:$H,2,FALSE)</f>
        <v>Chief Nurse</v>
      </c>
      <c r="C83" s="2" t="str">
        <f>VLOOKUP($A83,'[1]List of Employees'!$D:$H,3,FALSE)</f>
        <v>Employed</v>
      </c>
      <c r="D83" s="3" t="str">
        <f>VLOOKUP($A83,'[1]List of Employees'!$D:$H,5,FALSE)</f>
        <v>Regular</v>
      </c>
      <c r="E83" s="3" t="str">
        <f>VLOOKUP($A83,'[1]List of Employees'!$D:$H,4,FALSE)</f>
        <v>Nursing</v>
      </c>
    </row>
    <row r="84" spans="1:5" x14ac:dyDescent="0.25">
      <c r="A84" s="2" t="s">
        <v>84</v>
      </c>
      <c r="B84" s="2" t="str">
        <f>VLOOKUP($A84,'[1]List of Employees'!$D:$H,2,FALSE)</f>
        <v>Institutional Worker S2</v>
      </c>
      <c r="C84" s="2" t="str">
        <f>VLOOKUP($A84,'[1]List of Employees'!$D:$H,3,FALSE)</f>
        <v>Employed</v>
      </c>
      <c r="D84" s="3" t="str">
        <f>VLOOKUP($A84,'[1]List of Employees'!$D:$H,5,FALSE)</f>
        <v>Regular</v>
      </c>
      <c r="E84" s="3" t="str">
        <f>VLOOKUP($A84,'[1]List of Employees'!$D:$H,4,FALSE)</f>
        <v>Nursing</v>
      </c>
    </row>
    <row r="85" spans="1:5" x14ac:dyDescent="0.25">
      <c r="A85" s="1" t="s">
        <v>85</v>
      </c>
      <c r="B85" s="2" t="str">
        <f>VLOOKUP($A85,'[1]List of Employees'!$D:$H,2,FALSE)</f>
        <v>Staff Nurse I</v>
      </c>
      <c r="C85" s="2" t="str">
        <f>VLOOKUP($A85,'[1]List of Employees'!$D:$H,3,FALSE)</f>
        <v>Employed</v>
      </c>
      <c r="D85" s="3" t="str">
        <f>VLOOKUP($A85,'[1]List of Employees'!$D:$H,5,FALSE)</f>
        <v>Regular</v>
      </c>
      <c r="E85" s="3" t="str">
        <f>VLOOKUP($A85,'[1]List of Employees'!$D:$H,4,FALSE)</f>
        <v>Nursing</v>
      </c>
    </row>
    <row r="86" spans="1:5" x14ac:dyDescent="0.25">
      <c r="A86" s="1" t="s">
        <v>86</v>
      </c>
      <c r="B86" s="2" t="str">
        <f>VLOOKUP($A86,'[1]List of Employees'!$D:$H,2,FALSE)</f>
        <v>Staff Nurse I</v>
      </c>
      <c r="C86" s="1" t="s">
        <v>1</v>
      </c>
      <c r="D86" s="3" t="str">
        <f>VLOOKUP($A86,'[1]List of Employees'!$D:$H,5,FALSE)</f>
        <v>Probationary</v>
      </c>
      <c r="E86" s="3" t="str">
        <f>VLOOKUP($A86,'[1]List of Employees'!$D:$H,4,FALSE)</f>
        <v>Nursing</v>
      </c>
    </row>
    <row r="87" spans="1:5" x14ac:dyDescent="0.25">
      <c r="A87" s="2" t="s">
        <v>87</v>
      </c>
      <c r="B87" s="2" t="str">
        <f>VLOOKUP($A87,'[1]List of Employees'!$D:$H,2,FALSE)</f>
        <v>Staff Nurse II S2</v>
      </c>
      <c r="C87" s="2" t="str">
        <f>VLOOKUP($A87,'[1]List of Employees'!$D:$H,3,FALSE)</f>
        <v>Employed</v>
      </c>
      <c r="D87" s="3" t="str">
        <f>VLOOKUP($A87,'[1]List of Employees'!$D:$H,5,FALSE)</f>
        <v>Regular</v>
      </c>
      <c r="E87" s="3" t="str">
        <f>VLOOKUP($A87,'[1]List of Employees'!$D:$H,4,FALSE)</f>
        <v>Nursing</v>
      </c>
    </row>
    <row r="88" spans="1:5" x14ac:dyDescent="0.25">
      <c r="A88" s="3" t="s">
        <v>88</v>
      </c>
      <c r="B88" s="3" t="str">
        <f>VLOOKUP($A88,'[1]List of Employees'!$D:$H,2,FALSE)</f>
        <v>Nursing Attendant - RM S2</v>
      </c>
      <c r="C88" s="3" t="str">
        <f>VLOOKUP($A88,'[1]List of Employees'!$D:$H,3,FALSE)</f>
        <v>Employed</v>
      </c>
      <c r="D88" s="3" t="str">
        <f>VLOOKUP($A88,'[1]List of Employees'!$D:$H,5,FALSE)</f>
        <v>Regular</v>
      </c>
      <c r="E88" s="3" t="str">
        <f>VLOOKUP($A88,'[1]List of Employees'!$D:$H,4,FALSE)</f>
        <v>Nursing</v>
      </c>
    </row>
    <row r="89" spans="1:5" x14ac:dyDescent="0.25">
      <c r="A89" s="2" t="s">
        <v>89</v>
      </c>
      <c r="B89" s="2" t="str">
        <f>VLOOKUP($A89,'[1]List of Employees'!$D:$H,2,FALSE)</f>
        <v>Nursing Attendant - RM S2</v>
      </c>
      <c r="C89" s="2" t="str">
        <f>VLOOKUP($A89,'[1]List of Employees'!$D:$H,3,FALSE)</f>
        <v>Employed</v>
      </c>
      <c r="D89" s="3" t="str">
        <f>VLOOKUP($A89,'[1]List of Employees'!$D:$H,5,FALSE)</f>
        <v>Regular</v>
      </c>
      <c r="E89" s="3" t="str">
        <f>VLOOKUP($A89,'[1]List of Employees'!$D:$H,4,FALSE)</f>
        <v>Nursing</v>
      </c>
    </row>
    <row r="90" spans="1:5" x14ac:dyDescent="0.25">
      <c r="A90" s="2" t="s">
        <v>90</v>
      </c>
      <c r="B90" s="2" t="str">
        <f>VLOOKUP($A90,'[1]List of Employees'!$D:$H,2,FALSE)</f>
        <v>Training Supervisor Nurse</v>
      </c>
      <c r="C90" s="2" t="str">
        <f>VLOOKUP($A90,'[1]List of Employees'!$D:$H,3,FALSE)</f>
        <v>Employed</v>
      </c>
      <c r="D90" s="3" t="str">
        <f>VLOOKUP($A90,'[1]List of Employees'!$D:$H,5,FALSE)</f>
        <v>Regular</v>
      </c>
      <c r="E90" s="3" t="str">
        <f>VLOOKUP($A90,'[1]List of Employees'!$D:$H,4,FALSE)</f>
        <v>Nursing</v>
      </c>
    </row>
    <row r="91" spans="1:5" x14ac:dyDescent="0.25">
      <c r="A91" s="4" t="s">
        <v>91</v>
      </c>
      <c r="B91" s="2" t="str">
        <f>VLOOKUP($A91,'[1]List of Employees'!$D:$H,2,FALSE)</f>
        <v>Nursing Attendant - RM</v>
      </c>
      <c r="C91" s="2" t="str">
        <f>VLOOKUP($A91,'[1]List of Employees'!$D:$H,3,FALSE)</f>
        <v>Employed</v>
      </c>
      <c r="D91" s="3" t="str">
        <f>VLOOKUP($A91,'[1]List of Employees'!$D:$H,5,FALSE)</f>
        <v>Regular</v>
      </c>
      <c r="E91" s="3" t="str">
        <f>VLOOKUP($A91,'[1]List of Employees'!$D:$H,4,FALSE)</f>
        <v>CSR</v>
      </c>
    </row>
    <row r="92" spans="1:5" x14ac:dyDescent="0.25">
      <c r="A92" s="2" t="s">
        <v>92</v>
      </c>
      <c r="B92" s="2" t="str">
        <f>VLOOKUP($A92,'[1]List of Employees'!$D:$H,2,FALSE)</f>
        <v>Housekeeping/Linen</v>
      </c>
      <c r="C92" s="2" t="str">
        <f>VLOOKUP($A92,'[1]List of Employees'!$D:$H,3,FALSE)</f>
        <v>Employed</v>
      </c>
      <c r="D92" s="3" t="str">
        <f>VLOOKUP($A92,'[1]List of Employees'!$D:$H,5,FALSE)</f>
        <v>Regular</v>
      </c>
      <c r="E92" s="3" t="str">
        <f>VLOOKUP($A92,'[1]List of Employees'!$D:$H,4,FALSE)</f>
        <v>Nursing</v>
      </c>
    </row>
    <row r="93" spans="1:5" x14ac:dyDescent="0.25">
      <c r="A93" s="1" t="s">
        <v>93</v>
      </c>
      <c r="B93" s="2" t="str">
        <f>VLOOKUP($A93,'[1]List of Employees'!$D:$H,2,FALSE)</f>
        <v>Staff Nurse I</v>
      </c>
      <c r="C93" s="1" t="s">
        <v>1</v>
      </c>
      <c r="D93" s="3" t="str">
        <f>VLOOKUP($A93,'[1]List of Employees'!$D:$H,5,FALSE)</f>
        <v>Probationary</v>
      </c>
      <c r="E93" s="3" t="str">
        <f>VLOOKUP($A93,'[1]List of Employees'!$D:$H,4,FALSE)</f>
        <v>Nursing</v>
      </c>
    </row>
    <row r="94" spans="1:5" x14ac:dyDescent="0.25">
      <c r="A94" s="4" t="s">
        <v>94</v>
      </c>
      <c r="B94" s="2" t="str">
        <f>VLOOKUP($A94,'[1]List of Employees'!$D:$H,2,FALSE)</f>
        <v>Nursing Attendant - RM</v>
      </c>
      <c r="C94" s="2" t="str">
        <f>VLOOKUP($A94,'[1]List of Employees'!$D:$H,3,FALSE)</f>
        <v>Employed</v>
      </c>
      <c r="D94" s="3" t="str">
        <f>VLOOKUP($A94,'[1]List of Employees'!$D:$H,5,FALSE)</f>
        <v>Regular</v>
      </c>
      <c r="E94" s="3" t="str">
        <f>VLOOKUP($A94,'[1]List of Employees'!$D:$H,4,FALSE)</f>
        <v>ICU and Recovery</v>
      </c>
    </row>
    <row r="95" spans="1:5" x14ac:dyDescent="0.25">
      <c r="A95" s="1" t="s">
        <v>95</v>
      </c>
      <c r="B95" s="2" t="str">
        <f>VLOOKUP($A95,'[1]List of Employees'!$D:$H,2,FALSE)</f>
        <v>Staff Nurse I</v>
      </c>
      <c r="C95" s="1" t="s">
        <v>1</v>
      </c>
      <c r="D95" s="3" t="str">
        <f>VLOOKUP($A95,'[1]List of Employees'!$D:$H,5,FALSE)</f>
        <v>Probationary</v>
      </c>
      <c r="E95" s="3" t="str">
        <f>VLOOKUP($A95,'[1]List of Employees'!$D:$H,4,FALSE)</f>
        <v>Nursing</v>
      </c>
    </row>
    <row r="96" spans="1:5" x14ac:dyDescent="0.25">
      <c r="A96" s="2" t="s">
        <v>96</v>
      </c>
      <c r="B96" s="2" t="str">
        <f>VLOOKUP($A96,'[1]List of Employees'!$D:$H,2,FALSE)</f>
        <v>Ambulance Driver</v>
      </c>
      <c r="C96" s="2" t="str">
        <f>VLOOKUP($A96,'[1]List of Employees'!$D:$H,3,FALSE)</f>
        <v>Employed</v>
      </c>
      <c r="D96" s="3" t="str">
        <f>VLOOKUP($A96,'[1]List of Employees'!$D:$H,5,FALSE)</f>
        <v>Regular</v>
      </c>
      <c r="E96" s="3" t="str">
        <f>VLOOKUP($A96,'[1]List of Employees'!$D:$H,4,FALSE)</f>
        <v>Nursing</v>
      </c>
    </row>
    <row r="97" spans="1:5" x14ac:dyDescent="0.25">
      <c r="A97" s="1" t="s">
        <v>97</v>
      </c>
      <c r="B97" s="2" t="str">
        <f>VLOOKUP($A97,'[1]List of Employees'!$D:$H,2,FALSE)</f>
        <v>Staff Nurse I</v>
      </c>
      <c r="C97" s="1" t="s">
        <v>1</v>
      </c>
      <c r="D97" s="3" t="str">
        <f>VLOOKUP($A97,'[1]List of Employees'!$D:$H,5,FALSE)</f>
        <v>Probationary</v>
      </c>
      <c r="E97" s="3" t="str">
        <f>VLOOKUP($A97,'[1]List of Employees'!$D:$H,4,FALSE)</f>
        <v>Nursing</v>
      </c>
    </row>
    <row r="98" spans="1:5" x14ac:dyDescent="0.25">
      <c r="A98" s="2" t="s">
        <v>98</v>
      </c>
      <c r="B98" s="2" t="str">
        <f>VLOOKUP($A98,'[1]List of Employees'!$D:$H,2,FALSE)</f>
        <v>Specialty Nurse-Dialysis S2</v>
      </c>
      <c r="C98" s="2" t="str">
        <f>VLOOKUP($A98,'[1]List of Employees'!$D:$H,3,FALSE)</f>
        <v>Employed</v>
      </c>
      <c r="D98" s="3" t="str">
        <f>VLOOKUP($A98,'[1]List of Employees'!$D:$H,5,FALSE)</f>
        <v>Regular</v>
      </c>
      <c r="E98" s="3" t="str">
        <f>VLOOKUP($A98,'[1]List of Employees'!$D:$H,4,FALSE)</f>
        <v>Nursing</v>
      </c>
    </row>
    <row r="99" spans="1:5" x14ac:dyDescent="0.25">
      <c r="A99" s="2" t="s">
        <v>99</v>
      </c>
      <c r="B99" s="2" t="str">
        <f>VLOOKUP($A99,'[1]List of Employees'!$D:$H,2,FALSE)</f>
        <v>Medical Technologist - Head</v>
      </c>
      <c r="C99" s="2" t="str">
        <f>VLOOKUP($A99,'[1]List of Employees'!$D:$H,3,FALSE)</f>
        <v>Employed</v>
      </c>
      <c r="D99" s="3" t="str">
        <f>VLOOKUP($A99,'[1]List of Employees'!$D:$H,5,FALSE)</f>
        <v>Regular</v>
      </c>
      <c r="E99" s="3" t="str">
        <f>VLOOKUP($A99,'[1]List of Employees'!$D:$H,4,FALSE)</f>
        <v>Laboratory</v>
      </c>
    </row>
    <row r="100" spans="1:5" x14ac:dyDescent="0.25">
      <c r="A100" s="2" t="s">
        <v>100</v>
      </c>
      <c r="B100" s="2" t="str">
        <f>VLOOKUP($A100,'[1]List of Employees'!$D:$H,2,FALSE)</f>
        <v>Medical Technologist S2</v>
      </c>
      <c r="C100" s="2" t="str">
        <f>VLOOKUP($A100,'[1]List of Employees'!$D:$H,3,FALSE)</f>
        <v>Employed</v>
      </c>
      <c r="D100" s="3" t="str">
        <f>VLOOKUP($A100,'[1]List of Employees'!$D:$H,5,FALSE)</f>
        <v>Regular</v>
      </c>
      <c r="E100" s="3" t="str">
        <f>VLOOKUP($A100,'[1]List of Employees'!$D:$H,4,FALSE)</f>
        <v>Laboratory</v>
      </c>
    </row>
    <row r="101" spans="1:5" x14ac:dyDescent="0.25">
      <c r="A101" s="1" t="s">
        <v>101</v>
      </c>
      <c r="B101" s="2" t="str">
        <f>VLOOKUP($A101,'[1]List of Employees'!$D:$H,2,FALSE)</f>
        <v>Nursing Attendant - RM</v>
      </c>
      <c r="C101" s="1" t="s">
        <v>1</v>
      </c>
      <c r="D101" s="3" t="str">
        <f>VLOOKUP($A101,'[1]List of Employees'!$D:$H,5,FALSE)</f>
        <v>Probationary</v>
      </c>
      <c r="E101" s="3" t="str">
        <f>VLOOKUP($A101,'[1]List of Employees'!$D:$H,4,FALSE)</f>
        <v>Nursing</v>
      </c>
    </row>
    <row r="102" spans="1:5" x14ac:dyDescent="0.25">
      <c r="A102" s="2" t="s">
        <v>102</v>
      </c>
      <c r="B102" s="2" t="str">
        <f>VLOOKUP($A102,'[1]List of Employees'!$D:$H,2,FALSE)</f>
        <v>Nursing Attendant - non RM S2</v>
      </c>
      <c r="C102" s="2" t="str">
        <f>VLOOKUP($A102,'[1]List of Employees'!$D:$H,3,FALSE)</f>
        <v>Employed</v>
      </c>
      <c r="D102" s="3" t="str">
        <f>VLOOKUP($A102,'[1]List of Employees'!$D:$H,5,FALSE)</f>
        <v>Regular</v>
      </c>
      <c r="E102" s="3" t="str">
        <f>VLOOKUP($A102,'[1]List of Employees'!$D:$H,4,FALSE)</f>
        <v>ICU and Recovery</v>
      </c>
    </row>
    <row r="103" spans="1:5" x14ac:dyDescent="0.25">
      <c r="A103" s="2" t="s">
        <v>103</v>
      </c>
      <c r="B103" s="2" t="str">
        <f>VLOOKUP($A103,'[1]List of Employees'!$D:$H,2,FALSE)</f>
        <v>Nursing Attendant - non RM</v>
      </c>
      <c r="C103" s="2" t="str">
        <f>VLOOKUP($A103,'[1]List of Employees'!$D:$H,3,FALSE)</f>
        <v>Employed</v>
      </c>
      <c r="D103" s="3" t="str">
        <f>VLOOKUP($A103,'[1]List of Employees'!$D:$H,5,FALSE)</f>
        <v>Regular</v>
      </c>
      <c r="E103" s="3" t="str">
        <f>VLOOKUP($A103,'[1]List of Employees'!$D:$H,4,FALSE)</f>
        <v>Nursing</v>
      </c>
    </row>
    <row r="104" spans="1:5" x14ac:dyDescent="0.25">
      <c r="A104" s="1" t="s">
        <v>104</v>
      </c>
      <c r="B104" s="2" t="str">
        <f>VLOOKUP($A104,'[1]List of Employees'!$D:$H,2,FALSE)</f>
        <v>Admitting Clerk</v>
      </c>
      <c r="C104" s="1" t="s">
        <v>1</v>
      </c>
      <c r="D104" s="3" t="str">
        <f>VLOOKUP($A104,'[1]List of Employees'!$D:$H,5,FALSE)</f>
        <v>Probationary</v>
      </c>
      <c r="E104" s="3" t="str">
        <f>VLOOKUP($A104,'[1]List of Employees'!$D:$H,4,FALSE)</f>
        <v>Admin</v>
      </c>
    </row>
    <row r="105" spans="1:5" x14ac:dyDescent="0.25">
      <c r="A105" s="1" t="s">
        <v>105</v>
      </c>
      <c r="B105" s="2" t="str">
        <f>VLOOKUP($A105,'[1]List of Employees'!$D:$H,2,FALSE)</f>
        <v>Nursing Attendant - RM</v>
      </c>
      <c r="C105" s="2" t="str">
        <f>VLOOKUP($A105,'[1]List of Employees'!$D:$H,3,FALSE)</f>
        <v>Employed</v>
      </c>
      <c r="D105" s="3" t="str">
        <f>VLOOKUP($A105,'[1]List of Employees'!$D:$H,5,FALSE)</f>
        <v>Regular</v>
      </c>
      <c r="E105" s="3" t="str">
        <f>VLOOKUP($A105,'[1]List of Employees'!$D:$H,4,FALSE)</f>
        <v>Nursing</v>
      </c>
    </row>
    <row r="106" spans="1:5" x14ac:dyDescent="0.25">
      <c r="A106" s="1" t="s">
        <v>106</v>
      </c>
      <c r="B106" s="2" t="str">
        <f>VLOOKUP($A106,'[1]List of Employees'!$D:$H,2,FALSE)</f>
        <v>Staff Nurse I</v>
      </c>
      <c r="C106" s="1" t="s">
        <v>1</v>
      </c>
      <c r="D106" s="3" t="str">
        <f>VLOOKUP($A106,'[1]List of Employees'!$D:$H,5,FALSE)</f>
        <v>Probationary</v>
      </c>
      <c r="E106" s="3" t="str">
        <f>VLOOKUP($A106,'[1]List of Employees'!$D:$H,4,FALSE)</f>
        <v>Nursing</v>
      </c>
    </row>
    <row r="107" spans="1:5" x14ac:dyDescent="0.25">
      <c r="A107" s="2" t="s">
        <v>107</v>
      </c>
      <c r="B107" s="2" t="str">
        <f>VLOOKUP($A107,'[1]List of Employees'!$D:$H,2,FALSE)</f>
        <v>Nursing Attendant BSM - RM S2</v>
      </c>
      <c r="C107" s="2" t="str">
        <f>VLOOKUP($A107,'[1]List of Employees'!$D:$H,3,FALSE)</f>
        <v>Employed</v>
      </c>
      <c r="D107" s="3" t="str">
        <f>VLOOKUP($A107,'[1]List of Employees'!$D:$H,5,FALSE)</f>
        <v>Regular</v>
      </c>
      <c r="E107" s="3" t="str">
        <f>VLOOKUP($A107,'[1]List of Employees'!$D:$H,4,FALSE)</f>
        <v>Nursing</v>
      </c>
    </row>
    <row r="108" spans="1:5" x14ac:dyDescent="0.25">
      <c r="A108" s="2" t="s">
        <v>108</v>
      </c>
      <c r="B108" s="2" t="str">
        <f>VLOOKUP($A108,'[1]List of Employees'!$D:$H,2,FALSE)</f>
        <v>Staff Nurse II S2</v>
      </c>
      <c r="C108" s="2" t="str">
        <f>VLOOKUP($A108,'[1]List of Employees'!$D:$H,3,FALSE)</f>
        <v>Employed</v>
      </c>
      <c r="D108" s="3" t="str">
        <f>VLOOKUP($A108,'[1]List of Employees'!$D:$H,5,FALSE)</f>
        <v>Regular</v>
      </c>
      <c r="E108" s="3" t="str">
        <f>VLOOKUP($A108,'[1]List of Employees'!$D:$H,4,FALSE)</f>
        <v>Nursing</v>
      </c>
    </row>
    <row r="109" spans="1:5" x14ac:dyDescent="0.25">
      <c r="A109" s="2" t="s">
        <v>109</v>
      </c>
      <c r="B109" s="2" t="str">
        <f>VLOOKUP($A109,'[1]List of Employees'!$D:$H,2,FALSE)</f>
        <v>Nursing Attendant - non RM</v>
      </c>
      <c r="C109" s="2" t="str">
        <f>VLOOKUP($A109,'[1]List of Employees'!$D:$H,3,FALSE)</f>
        <v>Employed</v>
      </c>
      <c r="D109" s="3" t="str">
        <f>VLOOKUP($A109,'[1]List of Employees'!$D:$H,5,FALSE)</f>
        <v>Regular</v>
      </c>
      <c r="E109" s="3" t="str">
        <f>VLOOKUP($A109,'[1]List of Employees'!$D:$H,4,FALSE)</f>
        <v>Nursing</v>
      </c>
    </row>
    <row r="110" spans="1:5" x14ac:dyDescent="0.25">
      <c r="A110" s="3" t="s">
        <v>110</v>
      </c>
      <c r="B110" s="3" t="str">
        <f>VLOOKUP($A110,'[1]List of Employees'!$D:$H,2,FALSE)</f>
        <v>Radiology Assistant/Technician S2</v>
      </c>
      <c r="C110" s="3" t="str">
        <f>VLOOKUP($A110,'[1]List of Employees'!$D:$H,3,FALSE)</f>
        <v>Employed</v>
      </c>
      <c r="D110" s="3" t="str">
        <f>VLOOKUP($A110,'[1]List of Employees'!$D:$H,5,FALSE)</f>
        <v>Regular</v>
      </c>
      <c r="E110" s="3" t="str">
        <f>VLOOKUP($A110,'[1]List of Employees'!$D:$H,4,FALSE)</f>
        <v>Radiology</v>
      </c>
    </row>
    <row r="111" spans="1:5" x14ac:dyDescent="0.25">
      <c r="A111" s="2" t="s">
        <v>111</v>
      </c>
      <c r="B111" s="2" t="str">
        <f>VLOOKUP($A111,'[1]List of Employees'!$D:$H,2,FALSE)</f>
        <v>Medical Technologist</v>
      </c>
      <c r="C111" s="2" t="str">
        <f>VLOOKUP($A111,'[1]List of Employees'!$D:$H,3,FALSE)</f>
        <v>Employed</v>
      </c>
      <c r="D111" s="3" t="str">
        <f>VLOOKUP($A111,'[1]List of Employees'!$D:$H,5,FALSE)</f>
        <v>Regular</v>
      </c>
      <c r="E111" s="3" t="str">
        <f>VLOOKUP($A111,'[1]List of Employees'!$D:$H,4,FALSE)</f>
        <v>Laboratory</v>
      </c>
    </row>
    <row r="112" spans="1:5" x14ac:dyDescent="0.25">
      <c r="A112" s="2" t="s">
        <v>112</v>
      </c>
      <c r="B112" s="2" t="str">
        <f>VLOOKUP($A112,'[1]List of Employees'!$D:$H,2,FALSE)</f>
        <v>Phlebotomist S2</v>
      </c>
      <c r="C112" s="2" t="str">
        <f>VLOOKUP($A112,'[1]List of Employees'!$D:$H,3,FALSE)</f>
        <v>Employed</v>
      </c>
      <c r="D112" s="3" t="str">
        <f>VLOOKUP($A112,'[1]List of Employees'!$D:$H,5,FALSE)</f>
        <v>Regular</v>
      </c>
      <c r="E112" s="3" t="str">
        <f>VLOOKUP($A112,'[1]List of Employees'!$D:$H,4,FALSE)</f>
        <v>Laboratory</v>
      </c>
    </row>
    <row r="113" spans="1:5" x14ac:dyDescent="0.25">
      <c r="A113" s="2" t="s">
        <v>113</v>
      </c>
      <c r="B113" s="2" t="str">
        <f>VLOOKUP($A113,'[1]List of Employees'!$D:$H,2,FALSE)</f>
        <v>Radiologic Technologist S2</v>
      </c>
      <c r="C113" s="2" t="str">
        <f>VLOOKUP($A113,'[1]List of Employees'!$D:$H,3,FALSE)</f>
        <v>Employed</v>
      </c>
      <c r="D113" s="3" t="str">
        <f>VLOOKUP($A113,'[1]List of Employees'!$D:$H,5,FALSE)</f>
        <v>Regular</v>
      </c>
      <c r="E113" s="3" t="str">
        <f>VLOOKUP($A113,'[1]List of Employees'!$D:$H,4,FALSE)</f>
        <v>Radiology</v>
      </c>
    </row>
    <row r="114" spans="1:5" x14ac:dyDescent="0.25">
      <c r="A114" s="2" t="s">
        <v>114</v>
      </c>
      <c r="B114" s="2" t="str">
        <f>VLOOKUP($A114,'[1]List of Employees'!$D:$H,2,FALSE)</f>
        <v>Billing Clerk S2</v>
      </c>
      <c r="C114" s="2" t="str">
        <f>VLOOKUP($A114,'[1]List of Employees'!$D:$H,3,FALSE)</f>
        <v>Employed</v>
      </c>
      <c r="D114" s="3" t="str">
        <f>VLOOKUP($A114,'[1]List of Employees'!$D:$H,5,FALSE)</f>
        <v>Regular</v>
      </c>
      <c r="E114" s="3" t="str">
        <f>VLOOKUP($A114,'[1]List of Employees'!$D:$H,4,FALSE)</f>
        <v>Admin</v>
      </c>
    </row>
    <row r="115" spans="1:5" x14ac:dyDescent="0.25">
      <c r="A115" s="2" t="s">
        <v>115</v>
      </c>
      <c r="B115" s="2" t="str">
        <f>VLOOKUP($A115,'[1]List of Employees'!$D:$H,2,FALSE)</f>
        <v>Institutional Worker S2</v>
      </c>
      <c r="C115" s="2" t="str">
        <f>VLOOKUP($A115,'[1]List of Employees'!$D:$H,3,FALSE)</f>
        <v>Employed</v>
      </c>
      <c r="D115" s="3" t="str">
        <f>VLOOKUP($A115,'[1]List of Employees'!$D:$H,5,FALSE)</f>
        <v>Regular</v>
      </c>
      <c r="E115" s="3" t="str">
        <f>VLOOKUP($A115,'[1]List of Employees'!$D:$H,4,FALSE)</f>
        <v>Nursing</v>
      </c>
    </row>
    <row r="116" spans="1:5" x14ac:dyDescent="0.25">
      <c r="A116" s="4" t="s">
        <v>116</v>
      </c>
      <c r="B116" s="2" t="str">
        <f>VLOOKUP($A116,'[1]List of Employees'!$D:$H,2,FALSE)</f>
        <v>Medical Technologist</v>
      </c>
      <c r="C116" s="2" t="str">
        <f>VLOOKUP($A116,'[1]List of Employees'!$D:$H,3,FALSE)</f>
        <v>Employed</v>
      </c>
      <c r="D116" s="3" t="str">
        <f>VLOOKUP($A116,'[1]List of Employees'!$D:$H,5,FALSE)</f>
        <v>Regular</v>
      </c>
      <c r="E116" s="3" t="str">
        <f>VLOOKUP($A116,'[1]List of Employees'!$D:$H,4,FALSE)</f>
        <v>Laboratory</v>
      </c>
    </row>
    <row r="117" spans="1:5" x14ac:dyDescent="0.25">
      <c r="A117" s="1" t="s">
        <v>117</v>
      </c>
      <c r="B117" s="2" t="str">
        <f>VLOOKUP($A117,'[1]List of Employees'!$D:$H,2,FALSE)</f>
        <v>Phlebotomist</v>
      </c>
      <c r="C117" s="2" t="str">
        <f>VLOOKUP($A117,'[1]List of Employees'!$D:$H,3,FALSE)</f>
        <v>Employed</v>
      </c>
      <c r="D117" s="3" t="str">
        <f>VLOOKUP($A117,'[1]List of Employees'!$D:$H,5,FALSE)</f>
        <v>Regular</v>
      </c>
      <c r="E117" s="3" t="str">
        <f>VLOOKUP($A117,'[1]List of Employees'!$D:$H,4,FALSE)</f>
        <v>Laboratory</v>
      </c>
    </row>
    <row r="118" spans="1:5" x14ac:dyDescent="0.25">
      <c r="A118" s="2" t="s">
        <v>118</v>
      </c>
      <c r="B118" s="2" t="str">
        <f>VLOOKUP($A118,'[1]List of Employees'!$D:$H,2,FALSE)</f>
        <v>Clerk Pool</v>
      </c>
      <c r="C118" s="2" t="str">
        <f>VLOOKUP($A118,'[1]List of Employees'!$D:$H,3,FALSE)</f>
        <v>Employed</v>
      </c>
      <c r="D118" s="3" t="str">
        <f>VLOOKUP($A118,'[1]List of Employees'!$D:$H,5,FALSE)</f>
        <v>Regular</v>
      </c>
      <c r="E118" s="3" t="str">
        <f>VLOOKUP($A118,'[1]List of Employees'!$D:$H,4,FALSE)</f>
        <v>Admin</v>
      </c>
    </row>
    <row r="119" spans="1:5" x14ac:dyDescent="0.25">
      <c r="A119" s="2" t="s">
        <v>119</v>
      </c>
      <c r="B119" s="2" t="str">
        <f>VLOOKUP($A119,'[1]List of Employees'!$D:$H,2,FALSE)</f>
        <v>Nursing Attendant - RM S2</v>
      </c>
      <c r="C119" s="2" t="str">
        <f>VLOOKUP($A119,'[1]List of Employees'!$D:$H,3,FALSE)</f>
        <v>Employed</v>
      </c>
      <c r="D119" s="3" t="str">
        <f>VLOOKUP($A119,'[1]List of Employees'!$D:$H,5,FALSE)</f>
        <v>Regular</v>
      </c>
      <c r="E119" s="3" t="str">
        <f>VLOOKUP($A119,'[1]List of Employees'!$D:$H,4,FALSE)</f>
        <v>CSR</v>
      </c>
    </row>
    <row r="120" spans="1:5" x14ac:dyDescent="0.25">
      <c r="A120" s="2" t="s">
        <v>120</v>
      </c>
      <c r="B120" s="2" t="str">
        <f>VLOOKUP($A120,'[1]List of Employees'!$D:$H,2,FALSE)</f>
        <v>Institutional Worker S2</v>
      </c>
      <c r="C120" s="2" t="str">
        <f>VLOOKUP($A120,'[1]List of Employees'!$D:$H,3,FALSE)</f>
        <v>Employed</v>
      </c>
      <c r="D120" s="3" t="str">
        <f>VLOOKUP($A120,'[1]List of Employees'!$D:$H,5,FALSE)</f>
        <v>Regular</v>
      </c>
      <c r="E120" s="3" t="str">
        <f>VLOOKUP($A120,'[1]List of Employees'!$D:$H,4,FALSE)</f>
        <v>Nursing</v>
      </c>
    </row>
    <row r="121" spans="1:5" x14ac:dyDescent="0.25">
      <c r="A121" s="2" t="s">
        <v>121</v>
      </c>
      <c r="B121" s="2" t="str">
        <f>VLOOKUP($A121,'[1]List of Employees'!$D:$H,2,FALSE)</f>
        <v>Institutional Worker</v>
      </c>
      <c r="C121" s="2" t="str">
        <f>VLOOKUP($A121,'[1]List of Employees'!$D:$H,3,FALSE)</f>
        <v>Employed</v>
      </c>
      <c r="D121" s="3" t="str">
        <f>VLOOKUP($A121,'[1]List of Employees'!$D:$H,5,FALSE)</f>
        <v>Regular</v>
      </c>
      <c r="E121" s="3" t="str">
        <f>VLOOKUP($A121,'[1]List of Employees'!$D:$H,4,FALSE)</f>
        <v>Nursing</v>
      </c>
    </row>
    <row r="122" spans="1:5" x14ac:dyDescent="0.25">
      <c r="A122" s="2" t="s">
        <v>122</v>
      </c>
      <c r="B122" s="2" t="str">
        <f>VLOOKUP($A122,'[1]List of Employees'!$D:$H,2,FALSE)</f>
        <v>Pharmacy Head</v>
      </c>
      <c r="C122" s="2" t="str">
        <f>VLOOKUP($A122,'[1]List of Employees'!$D:$H,3,FALSE)</f>
        <v>Employed</v>
      </c>
      <c r="D122" s="3" t="str">
        <f>VLOOKUP($A122,'[1]List of Employees'!$D:$H,5,FALSE)</f>
        <v>Regular</v>
      </c>
      <c r="E122" s="3" t="str">
        <f>VLOOKUP($A122,'[1]List of Employees'!$D:$H,4,FALSE)</f>
        <v>Pharmacy</v>
      </c>
    </row>
    <row r="123" spans="1:5" x14ac:dyDescent="0.25">
      <c r="A123" s="2" t="s">
        <v>123</v>
      </c>
      <c r="B123" s="2" t="str">
        <f>VLOOKUP($A123,'[1]List of Employees'!$D:$H,2,FALSE)</f>
        <v>Senior Institutional Worker</v>
      </c>
      <c r="C123" s="2" t="str">
        <f>VLOOKUP($A123,'[1]List of Employees'!$D:$H,3,FALSE)</f>
        <v>Employed</v>
      </c>
      <c r="D123" s="3" t="str">
        <f>VLOOKUP($A123,'[1]List of Employees'!$D:$H,5,FALSE)</f>
        <v>Regular</v>
      </c>
      <c r="E123" s="3" t="str">
        <f>VLOOKUP($A123,'[1]List of Employees'!$D:$H,4,FALSE)</f>
        <v>Nursing</v>
      </c>
    </row>
    <row r="124" spans="1:5" x14ac:dyDescent="0.25">
      <c r="A124" s="3" t="s">
        <v>124</v>
      </c>
      <c r="B124" s="3" t="str">
        <f>VLOOKUP($A124,'[1]List of Employees'!$D:$H,2,FALSE)</f>
        <v>Nursing Attendant - RM S2</v>
      </c>
      <c r="C124" s="3" t="str">
        <f>VLOOKUP($A124,'[1]List of Employees'!$D:$H,3,FALSE)</f>
        <v>Employed</v>
      </c>
      <c r="D124" s="3" t="str">
        <f>VLOOKUP($A124,'[1]List of Employees'!$D:$H,5,FALSE)</f>
        <v>Regular</v>
      </c>
      <c r="E124" s="3" t="str">
        <f>VLOOKUP($A124,'[1]List of Employees'!$D:$H,4,FALSE)</f>
        <v>Nursing</v>
      </c>
    </row>
    <row r="125" spans="1:5" x14ac:dyDescent="0.25">
      <c r="A125" s="2" t="s">
        <v>125</v>
      </c>
      <c r="B125" s="2" t="str">
        <f>VLOOKUP($A125,'[1]List of Employees'!$D:$H,2,FALSE)</f>
        <v>Radiology Assistant/Technician S2</v>
      </c>
      <c r="C125" s="2" t="str">
        <f>VLOOKUP($A125,'[1]List of Employees'!$D:$H,3,FALSE)</f>
        <v>Employed</v>
      </c>
      <c r="D125" s="3" t="str">
        <f>VLOOKUP($A125,'[1]List of Employees'!$D:$H,5,FALSE)</f>
        <v>Regular</v>
      </c>
      <c r="E125" s="3" t="str">
        <f>VLOOKUP($A125,'[1]List of Employees'!$D:$H,4,FALSE)</f>
        <v>Radiology</v>
      </c>
    </row>
    <row r="126" spans="1:5" x14ac:dyDescent="0.25">
      <c r="A126" s="2" t="s">
        <v>126</v>
      </c>
      <c r="B126" s="2" t="str">
        <f>VLOOKUP($A126,'[1]List of Employees'!$D:$H,2,FALSE)</f>
        <v>Nursing Attendant - non RM S2</v>
      </c>
      <c r="C126" s="2" t="str">
        <f>VLOOKUP($A126,'[1]List of Employees'!$D:$H,3,FALSE)</f>
        <v>Employed</v>
      </c>
      <c r="D126" s="3" t="str">
        <f>VLOOKUP($A126,'[1]List of Employees'!$D:$H,5,FALSE)</f>
        <v>Regular</v>
      </c>
      <c r="E126" s="3" t="str">
        <f>VLOOKUP($A126,'[1]List of Employees'!$D:$H,4,FALSE)</f>
        <v>Nursing</v>
      </c>
    </row>
    <row r="127" spans="1:5" x14ac:dyDescent="0.25">
      <c r="A127" s="1" t="s">
        <v>127</v>
      </c>
      <c r="B127" s="2" t="str">
        <f>VLOOKUP($A127,'[1]List of Employees'!$D:$H,2,FALSE)</f>
        <v>Staff Nurse I</v>
      </c>
      <c r="C127" s="2" t="str">
        <f>VLOOKUP($A127,'[1]List of Employees'!$D:$H,3,FALSE)</f>
        <v>Employed</v>
      </c>
      <c r="D127" s="3" t="str">
        <f>VLOOKUP($A127,'[1]List of Employees'!$D:$H,5,FALSE)</f>
        <v>Regular</v>
      </c>
      <c r="E127" s="3" t="str">
        <f>VLOOKUP($A127,'[1]List of Employees'!$D:$H,4,FALSE)</f>
        <v>Nursing</v>
      </c>
    </row>
    <row r="128" spans="1:5" x14ac:dyDescent="0.25">
      <c r="A128" s="1" t="s">
        <v>128</v>
      </c>
      <c r="B128" s="2" t="str">
        <f>VLOOKUP($A128,'[1]List of Employees'!$D:$H,2,FALSE)</f>
        <v>Medical Technologist</v>
      </c>
      <c r="C128" s="2" t="str">
        <f>VLOOKUP($A128,'[1]List of Employees'!$D:$H,3,FALSE)</f>
        <v>Employed</v>
      </c>
      <c r="D128" s="3" t="str">
        <f>VLOOKUP($A128,'[1]List of Employees'!$D:$H,5,FALSE)</f>
        <v>Regular</v>
      </c>
      <c r="E128" s="3" t="str">
        <f>VLOOKUP($A128,'[1]List of Employees'!$D:$H,4,FALSE)</f>
        <v>Laboratory</v>
      </c>
    </row>
    <row r="129" spans="1:5" x14ac:dyDescent="0.25">
      <c r="A129" s="2" t="s">
        <v>129</v>
      </c>
      <c r="B129" s="2" t="str">
        <f>VLOOKUP($A129,'[1]List of Employees'!$D:$H,2,FALSE)</f>
        <v>Medical Records Clerk</v>
      </c>
      <c r="C129" s="2" t="str">
        <f>VLOOKUP($A129,'[1]List of Employees'!$D:$H,3,FALSE)</f>
        <v>Employed</v>
      </c>
      <c r="D129" s="3" t="str">
        <f>VLOOKUP($A129,'[1]List of Employees'!$D:$H,5,FALSE)</f>
        <v>Regular</v>
      </c>
      <c r="E129" s="3" t="str">
        <f>VLOOKUP($A129,'[1]List of Employees'!$D:$H,4,FALSE)</f>
        <v>Admin</v>
      </c>
    </row>
    <row r="130" spans="1:5" x14ac:dyDescent="0.25">
      <c r="A130" s="2" t="s">
        <v>130</v>
      </c>
      <c r="B130" s="2" t="str">
        <f>VLOOKUP($A130,'[1]List of Employees'!$D:$H,2,FALSE)</f>
        <v>Nursing Attendant - RM</v>
      </c>
      <c r="C130" s="2" t="str">
        <f>VLOOKUP($A130,'[1]List of Employees'!$D:$H,3,FALSE)</f>
        <v>Employed</v>
      </c>
      <c r="D130" s="3" t="str">
        <f>VLOOKUP($A130,'[1]List of Employees'!$D:$H,5,FALSE)</f>
        <v>Probationary</v>
      </c>
      <c r="E130" s="3" t="str">
        <f>VLOOKUP($A130,'[1]List of Employees'!$D:$H,4,FALSE)</f>
        <v>Nursing</v>
      </c>
    </row>
    <row r="131" spans="1:5" x14ac:dyDescent="0.25">
      <c r="A131" s="3" t="s">
        <v>131</v>
      </c>
      <c r="B131" s="3" t="str">
        <f>VLOOKUP($A131,'[1]List of Employees'!$D:$H,2,FALSE)</f>
        <v>Phlebotomist</v>
      </c>
      <c r="C131" s="3" t="str">
        <f>VLOOKUP($A131,'[1]List of Employees'!$D:$H,3,FALSE)</f>
        <v>Employed</v>
      </c>
      <c r="D131" s="3" t="str">
        <f>VLOOKUP($A131,'[1]List of Employees'!$D:$H,5,FALSE)</f>
        <v>Regular</v>
      </c>
      <c r="E131" s="3" t="str">
        <f>VLOOKUP($A131,'[1]List of Employees'!$D:$H,4,FALSE)</f>
        <v>Laboratory</v>
      </c>
    </row>
    <row r="132" spans="1:5" x14ac:dyDescent="0.25">
      <c r="A132" s="1" t="s">
        <v>132</v>
      </c>
      <c r="B132" s="2" t="str">
        <f>VLOOKUP($A132,'[1]List of Employees'!$D:$H,2,FALSE)</f>
        <v>Pharmacist I</v>
      </c>
      <c r="C132" s="2" t="str">
        <f>VLOOKUP($A132,'[1]List of Employees'!$D:$H,3,FALSE)</f>
        <v>Employed</v>
      </c>
      <c r="D132" s="3" t="str">
        <f>VLOOKUP($A132,'[1]List of Employees'!$D:$H,5,FALSE)</f>
        <v>Regular</v>
      </c>
      <c r="E132" s="3" t="str">
        <f>VLOOKUP($A132,'[1]List of Employees'!$D:$H,4,FALSE)</f>
        <v>Pharmacy</v>
      </c>
    </row>
    <row r="133" spans="1:5" x14ac:dyDescent="0.25">
      <c r="A133" s="1" t="s">
        <v>133</v>
      </c>
      <c r="B133" s="2" t="str">
        <f>VLOOKUP($A133,'[1]List of Employees'!$D:$H,2,FALSE)</f>
        <v>Nursing Attendant BSM - RM</v>
      </c>
      <c r="C133" s="2" t="str">
        <f>VLOOKUP($A133,'[1]List of Employees'!$D:$H,3,FALSE)</f>
        <v>Employed</v>
      </c>
      <c r="D133" s="3" t="str">
        <f>VLOOKUP($A133,'[1]List of Employees'!$D:$H,5,FALSE)</f>
        <v>Probationary</v>
      </c>
      <c r="E133" s="3" t="str">
        <f>VLOOKUP($A133,'[1]List of Employees'!$D:$H,4,FALSE)</f>
        <v>Nursing</v>
      </c>
    </row>
    <row r="134" spans="1:5" x14ac:dyDescent="0.25">
      <c r="A134" s="1" t="s">
        <v>134</v>
      </c>
      <c r="B134" s="5" t="str">
        <f>VLOOKUP($A134,'[1]List of Employees'!$D:$H,2,FALSE)</f>
        <v>Dietary Clerk S2</v>
      </c>
      <c r="C134" s="1" t="s">
        <v>1</v>
      </c>
      <c r="D134" s="3" t="str">
        <f>VLOOKUP($A134,'[1]List of Employees'!$D:$H,5,FALSE)</f>
        <v>Regular</v>
      </c>
      <c r="E134" s="3" t="str">
        <f>VLOOKUP($A134,'[1]List of Employees'!$D:$H,4,FALSE)</f>
        <v>Dietary</v>
      </c>
    </row>
    <row r="135" spans="1:5" x14ac:dyDescent="0.25">
      <c r="A135" s="2" t="s">
        <v>135</v>
      </c>
      <c r="B135" s="2" t="str">
        <f>VLOOKUP($A135,'[1]List of Employees'!$D:$H,2,FALSE)</f>
        <v>IT Head</v>
      </c>
      <c r="C135" s="2" t="str">
        <f>VLOOKUP($A135,'[1]List of Employees'!$D:$H,3,FALSE)</f>
        <v>Employed</v>
      </c>
      <c r="D135" s="3" t="str">
        <f>VLOOKUP($A135,'[1]List of Employees'!$D:$H,5,FALSE)</f>
        <v>Regular</v>
      </c>
      <c r="E135" s="3" t="str">
        <f>VLOOKUP($A135,'[1]List of Employees'!$D:$H,4,FALSE)</f>
        <v>Admin</v>
      </c>
    </row>
    <row r="136" spans="1:5" x14ac:dyDescent="0.25">
      <c r="A136" s="2" t="s">
        <v>136</v>
      </c>
      <c r="B136" s="2" t="str">
        <f>VLOOKUP($A136,'[1]List of Employees'!$D:$H,2,FALSE)</f>
        <v>Head Nurse I S2</v>
      </c>
      <c r="C136" s="2" t="str">
        <f>VLOOKUP($A136,'[1]List of Employees'!$D:$H,3,FALSE)</f>
        <v>Retired</v>
      </c>
      <c r="D136" s="3" t="str">
        <f>VLOOKUP($A136,'[1]List of Employees'!$D:$H,5,FALSE)</f>
        <v>Regular</v>
      </c>
      <c r="E136" s="3" t="str">
        <f>VLOOKUP($A136,'[1]List of Employees'!$D:$H,4,FALSE)</f>
        <v>Nursing</v>
      </c>
    </row>
    <row r="137" spans="1:5" x14ac:dyDescent="0.25">
      <c r="A137" s="2" t="s">
        <v>137</v>
      </c>
      <c r="B137" s="2" t="str">
        <f>VLOOKUP($A137,'[1]List of Employees'!$D:$H,2,FALSE)</f>
        <v>Nursing Attendant BSM - RM</v>
      </c>
      <c r="C137" s="2" t="str">
        <f>VLOOKUP($A137,'[1]List of Employees'!$D:$H,3,FALSE)</f>
        <v>Employed</v>
      </c>
      <c r="D137" s="3" t="str">
        <f>VLOOKUP($A137,'[1]List of Employees'!$D:$H,5,FALSE)</f>
        <v>Regular</v>
      </c>
      <c r="E137" s="3" t="str">
        <f>VLOOKUP($A137,'[1]List of Employees'!$D:$H,4,FALSE)</f>
        <v>Nursing</v>
      </c>
    </row>
    <row r="138" spans="1:5" x14ac:dyDescent="0.25">
      <c r="A138" s="1" t="s">
        <v>138</v>
      </c>
      <c r="B138" s="2" t="str">
        <f>VLOOKUP($A138,'[1]List of Employees'!$D:$H,2,FALSE)</f>
        <v>Pharmacist I</v>
      </c>
      <c r="C138" s="2" t="str">
        <f>VLOOKUP($A138,'[1]List of Employees'!$D:$H,3,FALSE)</f>
        <v>Employed</v>
      </c>
      <c r="D138" s="3" t="str">
        <f>VLOOKUP($A138,'[1]List of Employees'!$D:$H,5,FALSE)</f>
        <v>Regular</v>
      </c>
      <c r="E138" s="3" t="str">
        <f>VLOOKUP($A138,'[1]List of Employees'!$D:$H,4,FALSE)</f>
        <v>Pharmacy</v>
      </c>
    </row>
    <row r="139" spans="1:5" x14ac:dyDescent="0.25">
      <c r="A139" s="2" t="s">
        <v>139</v>
      </c>
      <c r="B139" s="2" t="str">
        <f>VLOOKUP($A139,'[1]List of Employees'!$D:$H,2,FALSE)</f>
        <v>Pharmacy Aide S2</v>
      </c>
      <c r="C139" s="2" t="str">
        <f>VLOOKUP($A139,'[1]List of Employees'!$D:$H,3,FALSE)</f>
        <v>Employed</v>
      </c>
      <c r="D139" s="3" t="str">
        <f>VLOOKUP($A139,'[1]List of Employees'!$D:$H,5,FALSE)</f>
        <v>Regular</v>
      </c>
      <c r="E139" s="3" t="str">
        <f>VLOOKUP($A139,'[1]List of Employees'!$D:$H,4,FALSE)</f>
        <v>Pharmacy</v>
      </c>
    </row>
    <row r="140" spans="1:5" x14ac:dyDescent="0.25">
      <c r="A140" s="2" t="s">
        <v>140</v>
      </c>
      <c r="B140" s="2" t="str">
        <f>VLOOKUP($A140,'[1]List of Employees'!$D:$H,2,FALSE)</f>
        <v>Medical Records Clerk</v>
      </c>
      <c r="C140" s="2" t="str">
        <f>VLOOKUP($A140,'[1]List of Employees'!$D:$H,3,FALSE)</f>
        <v>Employed</v>
      </c>
      <c r="D140" s="3" t="str">
        <f>VLOOKUP($A140,'[1]List of Employees'!$D:$H,5,FALSE)</f>
        <v>Regular</v>
      </c>
      <c r="E140" s="3" t="str">
        <f>VLOOKUP($A140,'[1]List of Employees'!$D:$H,4,FALSE)</f>
        <v>Admin</v>
      </c>
    </row>
    <row r="141" spans="1:5" x14ac:dyDescent="0.25">
      <c r="A141" s="2" t="s">
        <v>141</v>
      </c>
      <c r="B141" s="2" t="str">
        <f>VLOOKUP($A141,'[1]List of Employees'!$D:$H,2,FALSE)</f>
        <v>Specialty Nurse-OR</v>
      </c>
      <c r="C141" s="2" t="str">
        <f>VLOOKUP($A141,'[1]List of Employees'!$D:$H,3,FALSE)</f>
        <v>Employed</v>
      </c>
      <c r="D141" s="3" t="str">
        <f>VLOOKUP($A141,'[1]List of Employees'!$D:$H,5,FALSE)</f>
        <v>Regular</v>
      </c>
      <c r="E141" s="3" t="str">
        <f>VLOOKUP($A141,'[1]List of Employees'!$D:$H,4,FALSE)</f>
        <v>Nursing</v>
      </c>
    </row>
    <row r="142" spans="1:5" x14ac:dyDescent="0.25">
      <c r="A142" s="2" t="s">
        <v>142</v>
      </c>
      <c r="B142" s="2" t="str">
        <f>VLOOKUP($A142,'[1]List of Employees'!$D:$H,2,FALSE)</f>
        <v>Medical Technologist</v>
      </c>
      <c r="C142" s="2" t="str">
        <f>VLOOKUP($A142,'[1]List of Employees'!$D:$H,3,FALSE)</f>
        <v>Employed</v>
      </c>
      <c r="D142" s="3" t="str">
        <f>VLOOKUP($A142,'[1]List of Employees'!$D:$H,5,FALSE)</f>
        <v>Regular</v>
      </c>
      <c r="E142" s="3" t="str">
        <f>VLOOKUP($A142,'[1]List of Employees'!$D:$H,4,FALSE)</f>
        <v>Laboratory</v>
      </c>
    </row>
    <row r="143" spans="1:5" x14ac:dyDescent="0.25">
      <c r="A143" s="1" t="s">
        <v>143</v>
      </c>
      <c r="B143" s="5" t="str">
        <f>VLOOKUP($A143,'[1]List of Employees'!$D:$H,2,FALSE)</f>
        <v>Social Services Clerk</v>
      </c>
      <c r="C143" s="1" t="s">
        <v>1</v>
      </c>
      <c r="D143" s="3" t="str">
        <f>VLOOKUP($A143,'[1]List of Employees'!$D:$H,5,FALSE)</f>
        <v>Regular</v>
      </c>
      <c r="E143" s="3" t="str">
        <f>VLOOKUP($A143,'[1]List of Employees'!$D:$H,4,FALSE)</f>
        <v>Admin</v>
      </c>
    </row>
    <row r="144" spans="1:5" x14ac:dyDescent="0.25">
      <c r="A144" s="1" t="s">
        <v>144</v>
      </c>
      <c r="B144" s="5" t="str">
        <f>VLOOKUP($A144,'[1]List of Employees'!$D:$H,2,FALSE)</f>
        <v>Ancillary Clerk</v>
      </c>
      <c r="C144" s="1" t="s">
        <v>1</v>
      </c>
      <c r="D144" s="3" t="str">
        <f>VLOOKUP($A144,'[1]List of Employees'!$D:$H,5,FALSE)</f>
        <v>Regular</v>
      </c>
      <c r="E144" s="3" t="str">
        <f>VLOOKUP($A144,'[1]List of Employees'!$D:$H,4,FALSE)</f>
        <v>Admin</v>
      </c>
    </row>
    <row r="145" spans="1:5" x14ac:dyDescent="0.25">
      <c r="A145" s="1" t="s">
        <v>145</v>
      </c>
      <c r="B145" s="2" t="str">
        <f>VLOOKUP($A145,'[1]List of Employees'!$D:$H,2,FALSE)</f>
        <v>Staff Nurse I</v>
      </c>
      <c r="C145" s="2" t="str">
        <f>VLOOKUP($A145,'[1]List of Employees'!$D:$H,3,FALSE)</f>
        <v>Employed</v>
      </c>
      <c r="D145" s="3" t="str">
        <f>VLOOKUP($A145,'[1]List of Employees'!$D:$H,5,FALSE)</f>
        <v>Regular</v>
      </c>
      <c r="E145" s="3" t="str">
        <f>VLOOKUP($A145,'[1]List of Employees'!$D:$H,4,FALSE)</f>
        <v>Nursing</v>
      </c>
    </row>
    <row r="146" spans="1:5" x14ac:dyDescent="0.25">
      <c r="A146" s="2" t="s">
        <v>146</v>
      </c>
      <c r="B146" s="2" t="str">
        <f>VLOOKUP($A146,'[1]List of Employees'!$D:$H,2,FALSE)</f>
        <v>Staff Nurse II</v>
      </c>
      <c r="C146" s="2" t="str">
        <f>VLOOKUP($A146,'[1]List of Employees'!$D:$H,3,FALSE)</f>
        <v>Employed</v>
      </c>
      <c r="D146" s="3" t="str">
        <f>VLOOKUP($A146,'[1]List of Employees'!$D:$H,5,FALSE)</f>
        <v>Regular</v>
      </c>
      <c r="E146" s="3" t="str">
        <f>VLOOKUP($A146,'[1]List of Employees'!$D:$H,4,FALSE)</f>
        <v>Nursing</v>
      </c>
    </row>
    <row r="147" spans="1:5" x14ac:dyDescent="0.25">
      <c r="A147" s="2" t="s">
        <v>147</v>
      </c>
      <c r="B147" s="2" t="str">
        <f>VLOOKUP($A147,'[1]List of Employees'!$D:$H,2,FALSE)</f>
        <v>Nursing Attendant - non RM</v>
      </c>
      <c r="C147" s="2" t="str">
        <f>VLOOKUP($A147,'[1]List of Employees'!$D:$H,3,FALSE)</f>
        <v>Employed</v>
      </c>
      <c r="D147" s="3" t="str">
        <f>VLOOKUP($A147,'[1]List of Employees'!$D:$H,5,FALSE)</f>
        <v>Regular</v>
      </c>
      <c r="E147" s="3" t="str">
        <f>VLOOKUP($A147,'[1]List of Employees'!$D:$H,4,FALSE)</f>
        <v>Nursing</v>
      </c>
    </row>
    <row r="148" spans="1:5" x14ac:dyDescent="0.25">
      <c r="A148" s="2" t="s">
        <v>148</v>
      </c>
      <c r="B148" s="2" t="str">
        <f>VLOOKUP($A148,'[1]List of Employees'!$D:$H,2,FALSE)</f>
        <v>Credit and Collection Staff</v>
      </c>
      <c r="C148" s="2" t="str">
        <f>VLOOKUP($A148,'[1]List of Employees'!$D:$H,3,FALSE)</f>
        <v>Employed</v>
      </c>
      <c r="D148" s="3" t="str">
        <f>VLOOKUP($A148,'[1]List of Employees'!$D:$H,5,FALSE)</f>
        <v>Regular</v>
      </c>
      <c r="E148" s="3" t="str">
        <f>VLOOKUP($A148,'[1]List of Employees'!$D:$H,4,FALSE)</f>
        <v>Admin</v>
      </c>
    </row>
    <row r="149" spans="1:5" x14ac:dyDescent="0.25">
      <c r="A149" s="1" t="s">
        <v>149</v>
      </c>
      <c r="B149" s="2" t="str">
        <f>VLOOKUP($A149,'[1]List of Employees'!$D:$H,2,FALSE)</f>
        <v>Credit and Collection Staff</v>
      </c>
      <c r="C149" s="2" t="str">
        <f>VLOOKUP($A149,'[1]List of Employees'!$D:$H,3,FALSE)</f>
        <v>Employed</v>
      </c>
      <c r="D149" s="3" t="str">
        <f>VLOOKUP($A149,'[1]List of Employees'!$D:$H,5,FALSE)</f>
        <v>Regular</v>
      </c>
      <c r="E149" s="3" t="str">
        <f>VLOOKUP($A149,'[1]List of Employees'!$D:$H,4,FALSE)</f>
        <v>Admin</v>
      </c>
    </row>
    <row r="150" spans="1:5" x14ac:dyDescent="0.25">
      <c r="A150" s="1" t="s">
        <v>150</v>
      </c>
      <c r="B150" s="2" t="str">
        <f>VLOOKUP($A150,'[1]List of Employees'!$D:$H,2,FALSE)</f>
        <v>Nursing Attendant - RM</v>
      </c>
      <c r="C150" s="2" t="str">
        <f>VLOOKUP($A150,'[1]List of Employees'!$D:$H,3,FALSE)</f>
        <v>Employed</v>
      </c>
      <c r="D150" s="3" t="str">
        <f>VLOOKUP($A150,'[1]List of Employees'!$D:$H,5,FALSE)</f>
        <v>Regular</v>
      </c>
      <c r="E150" s="3" t="str">
        <f>VLOOKUP($A150,'[1]List of Employees'!$D:$H,4,FALSE)</f>
        <v>ICU and Recovery</v>
      </c>
    </row>
    <row r="151" spans="1:5" x14ac:dyDescent="0.25">
      <c r="A151" s="2" t="s">
        <v>151</v>
      </c>
      <c r="B151" s="2" t="str">
        <f>VLOOKUP($A151,'[1]List of Employees'!$D:$H,2,FALSE)</f>
        <v>Claims Clerk</v>
      </c>
      <c r="C151" s="2" t="str">
        <f>VLOOKUP($A151,'[1]List of Employees'!$D:$H,3,FALSE)</f>
        <v>Employed</v>
      </c>
      <c r="D151" s="3" t="str">
        <f>VLOOKUP($A151,'[1]List of Employees'!$D:$H,5,FALSE)</f>
        <v>Regular</v>
      </c>
      <c r="E151" s="3" t="str">
        <f>VLOOKUP($A151,'[1]List of Employees'!$D:$H,4,FALSE)</f>
        <v>Admin</v>
      </c>
    </row>
    <row r="152" spans="1:5" x14ac:dyDescent="0.25">
      <c r="A152" s="2" t="s">
        <v>152</v>
      </c>
      <c r="B152" s="2" t="str">
        <f>VLOOKUP($A152,'[1]List of Employees'!$D:$H,2,FALSE)</f>
        <v>Institutional Worker</v>
      </c>
      <c r="C152" s="2" t="str">
        <f>VLOOKUP($A152,'[1]List of Employees'!$D:$H,3,FALSE)</f>
        <v>Employed</v>
      </c>
      <c r="D152" s="3" t="str">
        <f>VLOOKUP($A152,'[1]List of Employees'!$D:$H,5,FALSE)</f>
        <v>Regular</v>
      </c>
      <c r="E152" s="3" t="str">
        <f>VLOOKUP($A152,'[1]List of Employees'!$D:$H,4,FALSE)</f>
        <v>Nursing</v>
      </c>
    </row>
    <row r="153" spans="1:5" x14ac:dyDescent="0.25">
      <c r="A153" s="2" t="s">
        <v>153</v>
      </c>
      <c r="B153" s="2" t="str">
        <f>VLOOKUP($A153,'[1]List of Employees'!$D:$H,2,FALSE)</f>
        <v>Radiology Assistant/Technician</v>
      </c>
      <c r="C153" s="2" t="str">
        <f>VLOOKUP($A153,'[1]List of Employees'!$D:$H,3,FALSE)</f>
        <v>Employed</v>
      </c>
      <c r="D153" s="3" t="str">
        <f>VLOOKUP($A153,'[1]List of Employees'!$D:$H,5,FALSE)</f>
        <v>Regular</v>
      </c>
      <c r="E153" s="3" t="str">
        <f>VLOOKUP($A153,'[1]List of Employees'!$D:$H,4,FALSE)</f>
        <v>Radiology</v>
      </c>
    </row>
    <row r="154" spans="1:5" x14ac:dyDescent="0.25">
      <c r="A154" s="2" t="s">
        <v>154</v>
      </c>
      <c r="B154" s="2" t="str">
        <f>VLOOKUP($A154,'[1]List of Employees'!$D:$H,2,FALSE)</f>
        <v>Staff Nurse II</v>
      </c>
      <c r="C154" s="2" t="str">
        <f>VLOOKUP($A154,'[1]List of Employees'!$D:$H,3,FALSE)</f>
        <v>Employed</v>
      </c>
      <c r="D154" s="3" t="str">
        <f>VLOOKUP($A154,'[1]List of Employees'!$D:$H,5,FALSE)</f>
        <v>Regular</v>
      </c>
      <c r="E154" s="3" t="str">
        <f>VLOOKUP($A154,'[1]List of Employees'!$D:$H,4,FALSE)</f>
        <v>Nursing</v>
      </c>
    </row>
    <row r="155" spans="1:5" x14ac:dyDescent="0.25">
      <c r="A155" s="2" t="s">
        <v>155</v>
      </c>
      <c r="B155" s="2" t="str">
        <f>VLOOKUP($A155,'[1]List of Employees'!$D:$H,2,FALSE)</f>
        <v>Nursing Attendant - RM</v>
      </c>
      <c r="C155" s="2" t="str">
        <f>VLOOKUP($A155,'[1]List of Employees'!$D:$H,3,FALSE)</f>
        <v>Employed</v>
      </c>
      <c r="D155" s="3" t="str">
        <f>VLOOKUP($A155,'[1]List of Employees'!$D:$H,5,FALSE)</f>
        <v>Regular</v>
      </c>
      <c r="E155" s="3" t="str">
        <f>VLOOKUP($A155,'[1]List of Employees'!$D:$H,4,FALSE)</f>
        <v>Nursing</v>
      </c>
    </row>
    <row r="156" spans="1:5" x14ac:dyDescent="0.25">
      <c r="A156" s="2" t="s">
        <v>156</v>
      </c>
      <c r="B156" s="2" t="str">
        <f>VLOOKUP($A156,'[1]List of Employees'!$D:$H,2,FALSE)</f>
        <v>Specialty Nurse-Ambulance</v>
      </c>
      <c r="C156" s="2" t="str">
        <f>VLOOKUP($A156,'[1]List of Employees'!$D:$H,3,FALSE)</f>
        <v>Employed</v>
      </c>
      <c r="D156" s="3" t="str">
        <f>VLOOKUP($A156,'[1]List of Employees'!$D:$H,5,FALSE)</f>
        <v>Regular</v>
      </c>
      <c r="E156" s="3" t="str">
        <f>VLOOKUP($A156,'[1]List of Employees'!$D:$H,4,FALSE)</f>
        <v>Nursing</v>
      </c>
    </row>
    <row r="157" spans="1:5" x14ac:dyDescent="0.25">
      <c r="A157" s="2" t="s">
        <v>157</v>
      </c>
      <c r="B157" s="2" t="str">
        <f>VLOOKUP($A157,'[1]List of Employees'!$D:$H,2,FALSE)</f>
        <v>Nursing Attendant - RM</v>
      </c>
      <c r="C157" s="2" t="str">
        <f>VLOOKUP($A157,'[1]List of Employees'!$D:$H,3,FALSE)</f>
        <v>Employed</v>
      </c>
      <c r="D157" s="3" t="str">
        <f>VLOOKUP($A157,'[1]List of Employees'!$D:$H,5,FALSE)</f>
        <v>Regular</v>
      </c>
      <c r="E157" s="3" t="str">
        <f>VLOOKUP($A157,'[1]List of Employees'!$D:$H,4,FALSE)</f>
        <v>Nursing</v>
      </c>
    </row>
    <row r="158" spans="1:5" x14ac:dyDescent="0.25">
      <c r="A158" s="1" t="s">
        <v>158</v>
      </c>
      <c r="B158" s="2" t="str">
        <f>VLOOKUP($A158,'[1]List of Employees'!$D:$H,2,FALSE)</f>
        <v>Nursing Attendant - RM</v>
      </c>
      <c r="C158" s="2" t="str">
        <f>VLOOKUP($A158,'[1]List of Employees'!$D:$H,3,FALSE)</f>
        <v>Employed</v>
      </c>
      <c r="D158" s="3" t="str">
        <f>VLOOKUP($A158,'[1]List of Employees'!$D:$H,5,FALSE)</f>
        <v>Regular</v>
      </c>
      <c r="E158" s="3" t="str">
        <f>VLOOKUP($A158,'[1]List of Employees'!$D:$H,4,FALSE)</f>
        <v>Nursing</v>
      </c>
    </row>
    <row r="159" spans="1:5" x14ac:dyDescent="0.25">
      <c r="A159" s="2" t="s">
        <v>159</v>
      </c>
      <c r="B159" s="2" t="str">
        <f>VLOOKUP($A159,'[1]List of Employees'!$D:$H,2,FALSE)</f>
        <v>Admitting Clerk</v>
      </c>
      <c r="C159" s="2" t="str">
        <f>VLOOKUP($A159,'[1]List of Employees'!$D:$H,3,FALSE)</f>
        <v>Employed</v>
      </c>
      <c r="D159" s="3" t="str">
        <f>VLOOKUP($A159,'[1]List of Employees'!$D:$H,5,FALSE)</f>
        <v>Regular</v>
      </c>
      <c r="E159" s="3" t="str">
        <f>VLOOKUP($A159,'[1]List of Employees'!$D:$H,4,FALSE)</f>
        <v>Nursing</v>
      </c>
    </row>
    <row r="160" spans="1:5" x14ac:dyDescent="0.25">
      <c r="A160" s="3" t="s">
        <v>160</v>
      </c>
      <c r="B160" s="3" t="str">
        <f>VLOOKUP($A160,'[1]List of Employees'!$D:$H,2,FALSE)</f>
        <v>Social Services Staff</v>
      </c>
      <c r="C160" s="3" t="str">
        <f>VLOOKUP($A160,'[1]List of Employees'!$D:$H,3,FALSE)</f>
        <v>Employed</v>
      </c>
      <c r="D160" s="3" t="str">
        <f>VLOOKUP($A160,'[1]List of Employees'!$D:$H,5,FALSE)</f>
        <v>Regular</v>
      </c>
      <c r="E160" s="3" t="str">
        <f>VLOOKUP($A160,'[1]List of Employees'!$D:$H,4,FALSE)</f>
        <v>Admin</v>
      </c>
    </row>
    <row r="161" spans="1:5" x14ac:dyDescent="0.25">
      <c r="A161" s="2" t="s">
        <v>161</v>
      </c>
      <c r="B161" s="2" t="str">
        <f>VLOOKUP($A161,'[1]List of Employees'!$D:$H,2,FALSE)</f>
        <v>Pharmacy Aide S2</v>
      </c>
      <c r="C161" s="2" t="str">
        <f>VLOOKUP($A161,'[1]List of Employees'!$D:$H,3,FALSE)</f>
        <v>Employed</v>
      </c>
      <c r="D161" s="3" t="str">
        <f>VLOOKUP($A161,'[1]List of Employees'!$D:$H,5,FALSE)</f>
        <v>Regular</v>
      </c>
      <c r="E161" s="3" t="str">
        <f>VLOOKUP($A161,'[1]List of Employees'!$D:$H,4,FALSE)</f>
        <v>Pharmacy</v>
      </c>
    </row>
    <row r="162" spans="1:5" x14ac:dyDescent="0.25">
      <c r="A162" s="2" t="s">
        <v>162</v>
      </c>
      <c r="B162" s="2" t="str">
        <f>VLOOKUP($A162,'[1]List of Employees'!$D:$H,2,FALSE)</f>
        <v>Pharmacy Aide S2</v>
      </c>
      <c r="C162" s="2" t="str">
        <f>VLOOKUP($A162,'[1]List of Employees'!$D:$H,3,FALSE)</f>
        <v>Employed</v>
      </c>
      <c r="D162" s="3" t="str">
        <f>VLOOKUP($A162,'[1]List of Employees'!$D:$H,5,FALSE)</f>
        <v>Regular</v>
      </c>
      <c r="E162" s="3" t="str">
        <f>VLOOKUP($A162,'[1]List of Employees'!$D:$H,4,FALSE)</f>
        <v>Pharmacy</v>
      </c>
    </row>
    <row r="163" spans="1:5" x14ac:dyDescent="0.25">
      <c r="A163" s="2" t="s">
        <v>163</v>
      </c>
      <c r="B163" s="2" t="str">
        <f>VLOOKUP($A163,'[1]List of Employees'!$D:$H,2,FALSE)</f>
        <v>Social Worker</v>
      </c>
      <c r="C163" s="2" t="str">
        <f>VLOOKUP($A163,'[1]List of Employees'!$D:$H,3,FALSE)</f>
        <v>Employed</v>
      </c>
      <c r="D163" s="3" t="str">
        <f>VLOOKUP($A163,'[1]List of Employees'!$D:$H,5,FALSE)</f>
        <v>Regular</v>
      </c>
      <c r="E163" s="3" t="str">
        <f>VLOOKUP($A163,'[1]List of Employees'!$D:$H,4,FALSE)</f>
        <v>Admin</v>
      </c>
    </row>
    <row r="164" spans="1:5" x14ac:dyDescent="0.25">
      <c r="A164" s="2" t="s">
        <v>164</v>
      </c>
      <c r="B164" s="2" t="str">
        <f>VLOOKUP($A164,'[1]List of Employees'!$D:$H,2,FALSE)</f>
        <v>Specialty Nurse-ICU</v>
      </c>
      <c r="C164" s="2" t="str">
        <f>VLOOKUP($A164,'[1]List of Employees'!$D:$H,3,FALSE)</f>
        <v>Employed</v>
      </c>
      <c r="D164" s="3" t="str">
        <f>VLOOKUP($A164,'[1]List of Employees'!$D:$H,5,FALSE)</f>
        <v>Regular</v>
      </c>
      <c r="E164" s="3" t="str">
        <f>VLOOKUP($A164,'[1]List of Employees'!$D:$H,4,FALSE)</f>
        <v>ICU and Recovery</v>
      </c>
    </row>
    <row r="165" spans="1:5" x14ac:dyDescent="0.25">
      <c r="A165" s="2" t="s">
        <v>165</v>
      </c>
      <c r="B165" s="2" t="str">
        <f>VLOOKUP($A165,'[1]List of Employees'!$D:$H,2,FALSE)</f>
        <v>Specialty Nurse-ICU</v>
      </c>
      <c r="C165" s="2" t="str">
        <f>VLOOKUP($A165,'[1]List of Employees'!$D:$H,3,FALSE)</f>
        <v>Employed</v>
      </c>
      <c r="D165" s="3" t="str">
        <f>VLOOKUP($A165,'[1]List of Employees'!$D:$H,5,FALSE)</f>
        <v>Regular</v>
      </c>
      <c r="E165" s="3" t="str">
        <f>VLOOKUP($A165,'[1]List of Employees'!$D:$H,4,FALSE)</f>
        <v>ICU and Recovery</v>
      </c>
    </row>
    <row r="166" spans="1:5" x14ac:dyDescent="0.25">
      <c r="A166" s="3" t="s">
        <v>166</v>
      </c>
      <c r="B166" s="3" t="str">
        <f>VLOOKUP($A166,'[1]List of Employees'!$D:$H,2,FALSE)</f>
        <v>Staff Nurse I</v>
      </c>
      <c r="C166" s="3" t="str">
        <f>VLOOKUP($A166,'[1]List of Employees'!$D:$H,3,FALSE)</f>
        <v>Employed</v>
      </c>
      <c r="D166" s="3" t="str">
        <f>VLOOKUP($A166,'[1]List of Employees'!$D:$H,5,FALSE)</f>
        <v>Regular</v>
      </c>
      <c r="E166" s="3" t="str">
        <f>VLOOKUP($A166,'[1]List of Employees'!$D:$H,4,FALSE)</f>
        <v>Nursing</v>
      </c>
    </row>
    <row r="167" spans="1:5" x14ac:dyDescent="0.25">
      <c r="A167" s="2" t="s">
        <v>167</v>
      </c>
      <c r="B167" s="2" t="str">
        <f>VLOOKUP($A167,'[1]List of Employees'!$D:$H,2,FALSE)</f>
        <v>Specialty Nurse-ICU</v>
      </c>
      <c r="C167" s="2" t="str">
        <f>VLOOKUP($A167,'[1]List of Employees'!$D:$H,3,FALSE)</f>
        <v>Employed</v>
      </c>
      <c r="D167" s="3" t="str">
        <f>VLOOKUP($A167,'[1]List of Employees'!$D:$H,5,FALSE)</f>
        <v>Regular</v>
      </c>
      <c r="E167" s="3" t="str">
        <f>VLOOKUP($A167,'[1]List of Employees'!$D:$H,4,FALSE)</f>
        <v>ICU and Recovery</v>
      </c>
    </row>
    <row r="168" spans="1:5" x14ac:dyDescent="0.25">
      <c r="A168" s="2" t="s">
        <v>168</v>
      </c>
      <c r="B168" s="2" t="str">
        <f>VLOOKUP($A168,'[1]List of Employees'!$D:$H,2,FALSE)</f>
        <v>Staff Nurse I</v>
      </c>
      <c r="C168" s="2" t="str">
        <f>VLOOKUP($A168,'[1]List of Employees'!$D:$H,3,FALSE)</f>
        <v>Employed</v>
      </c>
      <c r="D168" s="3" t="str">
        <f>VLOOKUP($A168,'[1]List of Employees'!$D:$H,5,FALSE)</f>
        <v>Regular</v>
      </c>
      <c r="E168" s="3" t="str">
        <f>VLOOKUP($A168,'[1]List of Employees'!$D:$H,4,FALSE)</f>
        <v>Nursing</v>
      </c>
    </row>
    <row r="169" spans="1:5" x14ac:dyDescent="0.25">
      <c r="A169" s="2" t="s">
        <v>169</v>
      </c>
      <c r="B169" s="2" t="str">
        <f>VLOOKUP($A169,'[1]List of Employees'!$D:$H,2,FALSE)</f>
        <v>Specialty Nurse-ICU</v>
      </c>
      <c r="C169" s="2" t="str">
        <f>VLOOKUP($A169,'[1]List of Employees'!$D:$H,3,FALSE)</f>
        <v>Employed</v>
      </c>
      <c r="D169" s="3" t="str">
        <f>VLOOKUP($A169,'[1]List of Employees'!$D:$H,5,FALSE)</f>
        <v>Regular</v>
      </c>
      <c r="E169" s="3" t="str">
        <f>VLOOKUP($A169,'[1]List of Employees'!$D:$H,4,FALSE)</f>
        <v>Nursing</v>
      </c>
    </row>
    <row r="170" spans="1:5" x14ac:dyDescent="0.25">
      <c r="A170" s="2" t="s">
        <v>170</v>
      </c>
      <c r="B170" s="2" t="str">
        <f>VLOOKUP($A170,'[1]List of Employees'!$D:$H,2,FALSE)</f>
        <v>Staff Nurse I</v>
      </c>
      <c r="C170" s="2" t="str">
        <f>VLOOKUP($A170,'[1]List of Employees'!$D:$H,3,FALSE)</f>
        <v>Employed</v>
      </c>
      <c r="D170" s="3" t="str">
        <f>VLOOKUP($A170,'[1]List of Employees'!$D:$H,5,FALSE)</f>
        <v>Regular</v>
      </c>
      <c r="E170" s="3" t="str">
        <f>VLOOKUP($A170,'[1]List of Employees'!$D:$H,4,FALSE)</f>
        <v>Nursing</v>
      </c>
    </row>
    <row r="171" spans="1:5" x14ac:dyDescent="0.25">
      <c r="A171" s="2" t="s">
        <v>171</v>
      </c>
      <c r="B171" s="2" t="str">
        <f>VLOOKUP($A171,'[1]List of Employees'!$D:$H,2,FALSE)</f>
        <v>Specialty Nurse-ICU</v>
      </c>
      <c r="C171" s="2" t="str">
        <f>VLOOKUP($A171,'[1]List of Employees'!$D:$H,3,FALSE)</f>
        <v>Retired</v>
      </c>
      <c r="D171" s="3" t="str">
        <f>VLOOKUP($A171,'[1]List of Employees'!$D:$H,5,FALSE)</f>
        <v>Regular</v>
      </c>
      <c r="E171" s="3" t="str">
        <f>VLOOKUP($A171,'[1]List of Employees'!$D:$H,4,FALSE)</f>
        <v>ICU and Recovery</v>
      </c>
    </row>
    <row r="172" spans="1:5" x14ac:dyDescent="0.25">
      <c r="A172" s="2" t="s">
        <v>172</v>
      </c>
      <c r="B172" s="2" t="str">
        <f>VLOOKUP($A172,'[1]List of Employees'!$D:$H,2,FALSE)</f>
        <v>Institutional Worker</v>
      </c>
      <c r="C172" s="2" t="str">
        <f>VLOOKUP($A172,'[1]List of Employees'!$D:$H,3,FALSE)</f>
        <v>Employed</v>
      </c>
      <c r="D172" s="3" t="str">
        <f>VLOOKUP($A172,'[1]List of Employees'!$D:$H,5,FALSE)</f>
        <v>Regular</v>
      </c>
      <c r="E172" s="3" t="str">
        <f>VLOOKUP($A172,'[1]List of Employees'!$D:$H,4,FALSE)</f>
        <v>Nursing</v>
      </c>
    </row>
    <row r="173" spans="1:5" x14ac:dyDescent="0.25">
      <c r="A173" s="3" t="s">
        <v>173</v>
      </c>
      <c r="B173" s="3" t="str">
        <f>VLOOKUP($A173,'[1]List of Employees'!$D:$H,2,FALSE)</f>
        <v>Staff Nurse I</v>
      </c>
      <c r="C173" s="3" t="str">
        <f>VLOOKUP($A173,'[1]List of Employees'!$D:$H,3,FALSE)</f>
        <v>Employed</v>
      </c>
      <c r="D173" s="3" t="str">
        <f>VLOOKUP($A173,'[1]List of Employees'!$D:$H,5,FALSE)</f>
        <v>Regular</v>
      </c>
      <c r="E173" s="3" t="str">
        <f>VLOOKUP($A173,'[1]List of Employees'!$D:$H,4,FALSE)</f>
        <v>Nursing</v>
      </c>
    </row>
    <row r="174" spans="1:5" x14ac:dyDescent="0.25">
      <c r="A174" s="2" t="s">
        <v>174</v>
      </c>
      <c r="B174" s="2" t="str">
        <f>VLOOKUP($A174,'[1]List of Employees'!$D:$H,2,FALSE)</f>
        <v>Pharmacy Aide S2</v>
      </c>
      <c r="C174" s="2" t="str">
        <f>VLOOKUP($A174,'[1]List of Employees'!$D:$H,3,FALSE)</f>
        <v>Employed</v>
      </c>
      <c r="D174" s="3" t="str">
        <f>VLOOKUP($A174,'[1]List of Employees'!$D:$H,5,FALSE)</f>
        <v>Regular</v>
      </c>
      <c r="E174" s="3" t="str">
        <f>VLOOKUP($A174,'[1]List of Employees'!$D:$H,4,FALSE)</f>
        <v>Pharmacy</v>
      </c>
    </row>
    <row r="175" spans="1:5" x14ac:dyDescent="0.25">
      <c r="A175" s="2" t="s">
        <v>175</v>
      </c>
      <c r="B175" s="2" t="str">
        <f>VLOOKUP($A175,'[1]List of Employees'!$D:$H,2,FALSE)</f>
        <v>Pharmacy Aide S2</v>
      </c>
      <c r="C175" s="2" t="str">
        <f>VLOOKUP($A175,'[1]List of Employees'!$D:$H,3,FALSE)</f>
        <v>Employed</v>
      </c>
      <c r="D175" s="3" t="str">
        <f>VLOOKUP($A175,'[1]List of Employees'!$D:$H,5,FALSE)</f>
        <v>Regular</v>
      </c>
      <c r="E175" s="3" t="str">
        <f>VLOOKUP($A175,'[1]List of Employees'!$D:$H,4,FALSE)</f>
        <v>Pharmacy</v>
      </c>
    </row>
    <row r="176" spans="1:5" x14ac:dyDescent="0.25">
      <c r="A176" s="1" t="s">
        <v>176</v>
      </c>
      <c r="B176" s="2" t="str">
        <f>VLOOKUP($A176,'[1]List of Employees'!$D:$H,2,FALSE)</f>
        <v>Staff Nurse I</v>
      </c>
      <c r="C176" s="2" t="s">
        <v>1</v>
      </c>
      <c r="D176" s="3" t="str">
        <f>VLOOKUP($A176,'[1]List of Employees'!$D:$H,5,FALSE)</f>
        <v>Regular</v>
      </c>
      <c r="E176" s="3" t="str">
        <f>VLOOKUP($A176,'[1]List of Employees'!$D:$H,4,FALSE)</f>
        <v>Nursing</v>
      </c>
    </row>
    <row r="177" spans="1:5" x14ac:dyDescent="0.25">
      <c r="A177" s="1" t="s">
        <v>177</v>
      </c>
      <c r="B177" s="2" t="str">
        <f>VLOOKUP($A177,'[1]List of Employees'!$D:$H,2,FALSE)</f>
        <v>Claims Clerk</v>
      </c>
      <c r="C177" s="2" t="str">
        <f>VLOOKUP($A177,'[1]List of Employees'!$D:$H,3,FALSE)</f>
        <v>Employed</v>
      </c>
      <c r="D177" s="3" t="str">
        <f>VLOOKUP($A177,'[1]List of Employees'!$D:$H,5,FALSE)</f>
        <v>Regular</v>
      </c>
      <c r="E177" s="3" t="str">
        <f>VLOOKUP($A177,'[1]List of Employees'!$D:$H,4,FALSE)</f>
        <v>Admin</v>
      </c>
    </row>
    <row r="178" spans="1:5" x14ac:dyDescent="0.25">
      <c r="A178" s="1" t="s">
        <v>178</v>
      </c>
      <c r="B178" s="2" t="str">
        <f>VLOOKUP($A178,'[1]List of Employees'!$D:$H,2,FALSE)</f>
        <v>Staff Nurse I</v>
      </c>
      <c r="C178" s="1" t="s">
        <v>1</v>
      </c>
      <c r="D178" s="3" t="str">
        <f>VLOOKUP($A178,'[1]List of Employees'!$D:$H,5,FALSE)</f>
        <v>Regular</v>
      </c>
      <c r="E178" s="3" t="str">
        <f>VLOOKUP($A178,'[1]List of Employees'!$D:$H,4,FALSE)</f>
        <v>Nursing</v>
      </c>
    </row>
    <row r="179" spans="1:5" x14ac:dyDescent="0.25">
      <c r="A179" s="1" t="s">
        <v>179</v>
      </c>
      <c r="B179" s="5" t="s">
        <v>180</v>
      </c>
      <c r="C179" s="1" t="s">
        <v>1</v>
      </c>
      <c r="D179" s="3" t="str">
        <f>VLOOKUP($A179,'[1]List of Employees'!$D:$H,5,FALSE)</f>
        <v>Regular</v>
      </c>
      <c r="E179" s="3" t="str">
        <f>VLOOKUP($A179,'[1]List of Employees'!$D:$H,4,FALSE)</f>
        <v>Nursing</v>
      </c>
    </row>
    <row r="180" spans="1:5" x14ac:dyDescent="0.25">
      <c r="A180" s="4" t="s">
        <v>181</v>
      </c>
      <c r="B180" s="5" t="str">
        <f>VLOOKUP($A180,'[1]List of Employees'!$D:$H,2,FALSE)</f>
        <v>Medical Records Clerk</v>
      </c>
      <c r="C180" s="1" t="s">
        <v>1</v>
      </c>
      <c r="D180" s="3" t="str">
        <f>VLOOKUP($A180,'[1]List of Employees'!$D:$H,5,FALSE)</f>
        <v>Regular</v>
      </c>
      <c r="E180" s="3" t="str">
        <f>VLOOKUP($A180,'[1]List of Employees'!$D:$H,4,FALSE)</f>
        <v>Admin</v>
      </c>
    </row>
    <row r="181" spans="1:5" x14ac:dyDescent="0.25">
      <c r="A181" s="1" t="s">
        <v>182</v>
      </c>
      <c r="B181" s="2" t="str">
        <f>VLOOKUP($A181,'[1]List of Employees'!$D:$H,2,FALSE)</f>
        <v>Pharmacy Aide S2</v>
      </c>
      <c r="C181" s="1" t="s">
        <v>1</v>
      </c>
      <c r="D181" s="3" t="str">
        <f>VLOOKUP($A181,'[1]List of Employees'!$D:$H,5,FALSE)</f>
        <v>Regular</v>
      </c>
      <c r="E181" s="3" t="str">
        <f>VLOOKUP($A181,'[1]List of Employees'!$D:$H,4,FALSE)</f>
        <v>Pharmacy</v>
      </c>
    </row>
    <row r="182" spans="1:5" x14ac:dyDescent="0.25">
      <c r="A182" s="1" t="s">
        <v>183</v>
      </c>
      <c r="B182" s="2" t="str">
        <f>VLOOKUP($A182,'[1]List of Employees'!$D:$H,2,FALSE)</f>
        <v>Staff Nurse I</v>
      </c>
      <c r="C182" s="1" t="s">
        <v>1</v>
      </c>
      <c r="D182" s="3" t="str">
        <f>VLOOKUP($A182,'[1]List of Employees'!$D:$H,5,FALSE)</f>
        <v>Regular</v>
      </c>
      <c r="E182" s="3" t="str">
        <f>VLOOKUP($A182,'[1]List of Employees'!$D:$H,4,FALSE)</f>
        <v>Nursing</v>
      </c>
    </row>
    <row r="183" spans="1:5" x14ac:dyDescent="0.25">
      <c r="A183" s="1" t="s">
        <v>184</v>
      </c>
      <c r="B183" s="2" t="str">
        <f>VLOOKUP($A183,'[1]List of Employees'!$D:$H,2,FALSE)</f>
        <v>Staff Nurse I</v>
      </c>
      <c r="C183" s="1" t="s">
        <v>1</v>
      </c>
      <c r="D183" s="3" t="str">
        <f>VLOOKUP($A183,'[1]List of Employees'!$D:$H,5,FALSE)</f>
        <v>Regular</v>
      </c>
      <c r="E183" s="3" t="str">
        <f>VLOOKUP($A183,'[1]List of Employees'!$D:$H,4,FALSE)</f>
        <v>Nursing</v>
      </c>
    </row>
    <row r="184" spans="1:5" x14ac:dyDescent="0.25">
      <c r="A184" s="1" t="s">
        <v>185</v>
      </c>
      <c r="B184" s="2" t="str">
        <f>VLOOKUP($A184,'[1]List of Employees'!$D:$H,2,FALSE)</f>
        <v>Staff Nurse I</v>
      </c>
      <c r="C184" s="1" t="s">
        <v>1</v>
      </c>
      <c r="D184" s="3" t="str">
        <f>VLOOKUP($A184,'[1]List of Employees'!$D:$H,5,FALSE)</f>
        <v>Regular</v>
      </c>
      <c r="E184" s="3" t="str">
        <f>VLOOKUP($A184,'[1]List of Employees'!$D:$H,4,FALSE)</f>
        <v>Nursing</v>
      </c>
    </row>
    <row r="185" spans="1:5" x14ac:dyDescent="0.25">
      <c r="A185" s="1" t="s">
        <v>186</v>
      </c>
      <c r="B185" s="2" t="str">
        <f>VLOOKUP($A185,'[1]List of Employees'!$D:$H,2,FALSE)</f>
        <v>Staff Nurse I</v>
      </c>
      <c r="C185" s="1" t="s">
        <v>1</v>
      </c>
      <c r="D185" s="3" t="str">
        <f>VLOOKUP($A185,'[1]List of Employees'!$D:$H,5,FALSE)</f>
        <v>Regular</v>
      </c>
      <c r="E185" s="3" t="str">
        <f>VLOOKUP($A185,'[1]List of Employees'!$D:$H,4,FALSE)</f>
        <v>Nursing</v>
      </c>
    </row>
    <row r="186" spans="1:5" x14ac:dyDescent="0.25">
      <c r="A186" s="1" t="s">
        <v>187</v>
      </c>
      <c r="B186" s="2" t="str">
        <f>VLOOKUP($A186,'[1]List of Employees'!$D:$H,2,FALSE)</f>
        <v>Staff Nurse I</v>
      </c>
      <c r="C186" s="1" t="s">
        <v>1</v>
      </c>
      <c r="D186" s="3" t="str">
        <f>VLOOKUP($A186,'[1]List of Employees'!$D:$H,5,FALSE)</f>
        <v>Regular</v>
      </c>
      <c r="E186" s="3" t="str">
        <f>VLOOKUP($A186,'[1]List of Employees'!$D:$H,4,FALSE)</f>
        <v>Nursing</v>
      </c>
    </row>
    <row r="187" spans="1:5" x14ac:dyDescent="0.25">
      <c r="A187" s="1" t="s">
        <v>188</v>
      </c>
      <c r="B187" s="2" t="str">
        <f>VLOOKUP($A187,'[1]List of Employees'!$D:$H,2,FALSE)</f>
        <v>Staff Nurse I</v>
      </c>
      <c r="C187" s="1" t="s">
        <v>1</v>
      </c>
      <c r="D187" s="3" t="str">
        <f>VLOOKUP($A187,'[1]List of Employees'!$D:$H,5,FALSE)</f>
        <v>Regular</v>
      </c>
      <c r="E187" s="3" t="str">
        <f>VLOOKUP($A187,'[1]List of Employees'!$D:$H,4,FALSE)</f>
        <v>Nursing</v>
      </c>
    </row>
    <row r="188" spans="1:5" x14ac:dyDescent="0.25">
      <c r="A188" s="1" t="s">
        <v>189</v>
      </c>
      <c r="B188" s="2" t="str">
        <f>VLOOKUP($A188,'[1]List of Employees'!$D:$H,2,FALSE)</f>
        <v>Medical Technologist</v>
      </c>
      <c r="C188" s="1" t="s">
        <v>1</v>
      </c>
      <c r="D188" s="3" t="str">
        <f>VLOOKUP($A188,'[1]List of Employees'!$D:$H,5,FALSE)</f>
        <v>Regular</v>
      </c>
      <c r="E188" s="3" t="str">
        <f>VLOOKUP($A188,'[1]List of Employees'!$D:$H,4,FALSE)</f>
        <v>Laboratory</v>
      </c>
    </row>
    <row r="189" spans="1:5" x14ac:dyDescent="0.25">
      <c r="A189" s="1" t="s">
        <v>190</v>
      </c>
      <c r="B189" s="2" t="str">
        <f>VLOOKUP($A189,'[1]List of Employees'!$D:$H,2,FALSE)</f>
        <v>Radiologic Technologist</v>
      </c>
      <c r="C189" s="1" t="s">
        <v>1</v>
      </c>
      <c r="D189" s="3" t="str">
        <f>VLOOKUP($A189,'[1]List of Employees'!$D:$H,5,FALSE)</f>
        <v>Regular</v>
      </c>
      <c r="E189" s="3" t="str">
        <f>VLOOKUP($A189,'[1]List of Employees'!$D:$H,4,FALSE)</f>
        <v>Radiology</v>
      </c>
    </row>
    <row r="190" spans="1:5" x14ac:dyDescent="0.25">
      <c r="A190" s="1" t="s">
        <v>191</v>
      </c>
      <c r="B190" s="2" t="str">
        <f>VLOOKUP($A190,'[1]List of Employees'!$D:$H,2,FALSE)</f>
        <v>Staff Nurse I</v>
      </c>
      <c r="C190" s="1" t="s">
        <v>1</v>
      </c>
      <c r="D190" s="3" t="str">
        <f>VLOOKUP($A190,'[1]List of Employees'!$D:$H,5,FALSE)</f>
        <v>Regular</v>
      </c>
      <c r="E190" s="3" t="str">
        <f>VLOOKUP($A190,'[1]List of Employees'!$D:$H,4,FALSE)</f>
        <v>Nursing</v>
      </c>
    </row>
    <row r="191" spans="1:5" x14ac:dyDescent="0.25">
      <c r="A191" s="1" t="s">
        <v>192</v>
      </c>
      <c r="B191" s="2" t="str">
        <f>VLOOKUP($A191,'[1]List of Employees'!$D:$H,2,FALSE)</f>
        <v>Staff Nurse I</v>
      </c>
      <c r="C191" s="1" t="s">
        <v>1</v>
      </c>
      <c r="D191" s="3" t="str">
        <f>VLOOKUP($A191,'[1]List of Employees'!$D:$H,5,FALSE)</f>
        <v>Regular</v>
      </c>
      <c r="E191" s="3" t="str">
        <f>VLOOKUP($A191,'[1]List of Employees'!$D:$H,4,FALSE)</f>
        <v>Nursing</v>
      </c>
    </row>
    <row r="192" spans="1:5" x14ac:dyDescent="0.25">
      <c r="A192" s="1" t="s">
        <v>193</v>
      </c>
      <c r="B192" s="2" t="str">
        <f>VLOOKUP($A192,'[1]List of Employees'!$D:$H,2,FALSE)</f>
        <v>Institutional Worker</v>
      </c>
      <c r="C192" s="1" t="s">
        <v>1</v>
      </c>
      <c r="D192" s="3" t="str">
        <f>VLOOKUP($A192,'[1]List of Employees'!$D:$H,5,FALSE)</f>
        <v>Regular</v>
      </c>
      <c r="E192" s="3" t="str">
        <f>VLOOKUP($A192,'[1]List of Employees'!$D:$H,4,FALSE)</f>
        <v>Nursing</v>
      </c>
    </row>
  </sheetData>
  <conditionalFormatting sqref="A2">
    <cfRule type="duplicateValues" dxfId="13" priority="3"/>
  </conditionalFormatting>
  <conditionalFormatting sqref="A52">
    <cfRule type="duplicateValues" dxfId="12" priority="5"/>
  </conditionalFormatting>
  <conditionalFormatting sqref="A54">
    <cfRule type="duplicateValues" dxfId="11" priority="4"/>
  </conditionalFormatting>
  <conditionalFormatting sqref="A66">
    <cfRule type="duplicateValues" dxfId="10" priority="2"/>
  </conditionalFormatting>
  <conditionalFormatting sqref="A83 A78 A28">
    <cfRule type="duplicateValues" dxfId="9" priority="9"/>
  </conditionalFormatting>
  <conditionalFormatting sqref="A89 A25">
    <cfRule type="duplicateValues" dxfId="8" priority="8"/>
  </conditionalFormatting>
  <conditionalFormatting sqref="A101 A46 A97 A106 A95 A86 A93 A7 A23 A10 A104">
    <cfRule type="duplicateValues" dxfId="7" priority="12"/>
  </conditionalFormatting>
  <conditionalFormatting sqref="A118">
    <cfRule type="duplicateValues" dxfId="6" priority="1"/>
  </conditionalFormatting>
  <conditionalFormatting sqref="A152">
    <cfRule type="duplicateValues" dxfId="5" priority="7"/>
  </conditionalFormatting>
  <conditionalFormatting sqref="A159:A168 A156:A157 A30 A62">
    <cfRule type="duplicateValues" dxfId="4" priority="10"/>
  </conditionalFormatting>
  <conditionalFormatting sqref="A169:A170 A33 A142">
    <cfRule type="duplicateValues" dxfId="3" priority="6"/>
  </conditionalFormatting>
  <conditionalFormatting sqref="A177 A55 A171:A173 A153:A155 A98:A100 A96 A94 A87:A88 A85 A49:A51 A57 A63 A73 A75:A77 A38 A40:A41 A105 A107:A115 A91 A59:A61 A15:A17 A45 A47 A43 A119:A126 A135:A137 A34:A36 A139:A141 A79:A80 A82 A146:A148 A151 A129:A131 A19:A22 A24 A3:A6 A8:A9 A11:A13">
    <cfRule type="duplicateValues" dxfId="2" priority="13"/>
  </conditionalFormatting>
  <conditionalFormatting sqref="A183:A192 A48 A26 A70 A72 A44">
    <cfRule type="duplicateValues" dxfId="1" priority="14"/>
  </conditionalFormatting>
  <conditionalFormatting sqref="B90 B53 C84 B58">
    <cfRule type="duplicateValues" dxfId="0" priority="1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</dc:creator>
  <cp:lastModifiedBy>bry</cp:lastModifiedBy>
  <dcterms:created xsi:type="dcterms:W3CDTF">2026-10-13T11:27:46Z</dcterms:created>
  <dcterms:modified xsi:type="dcterms:W3CDTF">2026-10-13T11:28:26Z</dcterms:modified>
</cp:coreProperties>
</file>